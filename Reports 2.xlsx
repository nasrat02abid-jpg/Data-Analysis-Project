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MMC\Desktop\"/>
    </mc:Choice>
  </mc:AlternateContent>
  <xr:revisionPtr revIDLastSave="0" documentId="13_ncr:1_{45E788CA-71BD-41F6-A7AF-CAE2B89D0DDA}" xr6:coauthVersionLast="36" xr6:coauthVersionMax="36" xr10:uidLastSave="{00000000-0000-0000-0000-000000000000}"/>
  <bookViews>
    <workbookView xWindow="0" yWindow="0" windowWidth="28800" windowHeight="12225" activeTab="2" xr2:uid="{E06AB1ED-98C3-460F-9387-4E0EA62EB592}"/>
  </bookViews>
  <sheets>
    <sheet name="Data" sheetId="1" r:id="rId1"/>
    <sheet name="Pivot Table" sheetId="2" r:id="rId2"/>
    <sheet name="Dashboard" sheetId="4" r:id="rId3"/>
  </sheets>
  <definedNames>
    <definedName name="_xlnm._FilterDatabase" localSheetId="0" hidden="1">Data!$A$1:$J$26</definedName>
    <definedName name="_xlnm._FilterDatabase" localSheetId="1" hidden="1">'Pivot Table'!$P$1:$Q$24</definedName>
    <definedName name="_xlchart.v2.11" hidden="1">'Pivot Table'!$M$5:$M$11</definedName>
    <definedName name="_xlchart.v2.12" hidden="1">'Pivot Table'!$N$4</definedName>
    <definedName name="_xlchart.v2.13" hidden="1">'Pivot Table'!$N$5:$N$11</definedName>
    <definedName name="_xlchart.v2.4" hidden="1">'Pivot Table'!$M$5:$M$11</definedName>
    <definedName name="_xlchart.v2.5" hidden="1">'Pivot Table'!$N$4</definedName>
    <definedName name="_xlchart.v2.6" hidden="1">'Pivot Table'!$N$5:$N$11</definedName>
    <definedName name="_xlchart.v5.0" hidden="1">'Pivot Table'!$Y$4</definedName>
    <definedName name="_xlchart.v5.1" hidden="1">'Pivot Table'!$Y$5:$Y$7</definedName>
    <definedName name="_xlchart.v5.10" hidden="1">'Pivot Table'!$Z$5:$Z$7</definedName>
    <definedName name="_xlchart.v5.2" hidden="1">'Pivot Table'!$Z$4</definedName>
    <definedName name="_xlchart.v5.3" hidden="1">'Pivot Table'!$Z$5:$Z$7</definedName>
    <definedName name="_xlchart.v5.7" hidden="1">'Pivot Table'!$Y$4</definedName>
    <definedName name="_xlchart.v5.8" hidden="1">'Pivot Table'!$Y$5:$Y$7</definedName>
    <definedName name="_xlchart.v5.9" hidden="1">'Pivot Table'!$Z$4</definedName>
    <definedName name="Slicer_Category">#N/A</definedName>
    <definedName name="Slicer_Month">#N/A</definedName>
    <definedName name="Slicer_Year">#N/A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1" i="2" l="1"/>
  <c r="M10" i="2"/>
  <c r="M9" i="2"/>
  <c r="M8" i="2"/>
  <c r="Y7" i="2"/>
  <c r="M7" i="2"/>
  <c r="Y6" i="2"/>
  <c r="M6" i="2"/>
  <c r="Y5" i="2"/>
  <c r="M5" i="2"/>
  <c r="A12" i="2"/>
  <c r="A10" i="2"/>
  <c r="Z7" i="2"/>
  <c r="Z6" i="2"/>
  <c r="Z5" i="2"/>
  <c r="N11" i="2"/>
  <c r="N9" i="2"/>
  <c r="N8" i="2"/>
  <c r="N5" i="2"/>
  <c r="N6" i="2"/>
  <c r="N7" i="2"/>
  <c r="N10" i="2"/>
</calcChain>
</file>

<file path=xl/sharedStrings.xml><?xml version="1.0" encoding="utf-8"?>
<sst xmlns="http://schemas.openxmlformats.org/spreadsheetml/2006/main" count="254" uniqueCount="65">
  <si>
    <t>Jawad Khan</t>
  </si>
  <si>
    <t>Asim Khan</t>
  </si>
  <si>
    <t xml:space="preserve">Sohil </t>
  </si>
  <si>
    <t>Muhammad</t>
  </si>
  <si>
    <t>Javid</t>
  </si>
  <si>
    <t>Azlan Khan</t>
  </si>
  <si>
    <t>Zain</t>
  </si>
  <si>
    <t>KHAn Jii</t>
  </si>
  <si>
    <t>Jan</t>
  </si>
  <si>
    <t>Year</t>
  </si>
  <si>
    <t>Month</t>
  </si>
  <si>
    <t>Profit</t>
  </si>
  <si>
    <t>Sales</t>
  </si>
  <si>
    <t>Quantity</t>
  </si>
  <si>
    <t>State</t>
  </si>
  <si>
    <t>Coustomr Name</t>
  </si>
  <si>
    <t>Order Date</t>
  </si>
  <si>
    <t xml:space="preserve"> </t>
  </si>
  <si>
    <t>Category</t>
  </si>
  <si>
    <t>Sub-Category</t>
  </si>
  <si>
    <t>Mak Son</t>
  </si>
  <si>
    <t>Maick Brown</t>
  </si>
  <si>
    <t>Ayub Kan</t>
  </si>
  <si>
    <t>Vevick</t>
  </si>
  <si>
    <t>Jack</t>
  </si>
  <si>
    <t>Maira</t>
  </si>
  <si>
    <t>Phillina</t>
  </si>
  <si>
    <t>Charis</t>
  </si>
  <si>
    <t>Darenna</t>
  </si>
  <si>
    <t>Sum of Sales</t>
  </si>
  <si>
    <t>Sum of Profit</t>
  </si>
  <si>
    <t>Texas</t>
  </si>
  <si>
    <t>Virginia</t>
  </si>
  <si>
    <t>Kentucky</t>
  </si>
  <si>
    <t>Office Supplies</t>
  </si>
  <si>
    <t>Technology</t>
  </si>
  <si>
    <t>Furniture</t>
  </si>
  <si>
    <t>Labels</t>
  </si>
  <si>
    <t>Storage</t>
  </si>
  <si>
    <t>Arts</t>
  </si>
  <si>
    <t>Paper</t>
  </si>
  <si>
    <t>Binders</t>
  </si>
  <si>
    <t>Phones</t>
  </si>
  <si>
    <t>Airports</t>
  </si>
  <si>
    <t>Profit by Year</t>
  </si>
  <si>
    <t>Row Labels</t>
  </si>
  <si>
    <t>Grand Total</t>
  </si>
  <si>
    <t>Total Profit</t>
  </si>
  <si>
    <t>Total Sales</t>
  </si>
  <si>
    <t>Sales by Sub Category</t>
  </si>
  <si>
    <t xml:space="preserve">Category </t>
  </si>
  <si>
    <t>Customre Count by Year</t>
  </si>
  <si>
    <t>Count of Coustomr Name</t>
  </si>
  <si>
    <t>Sales by State</t>
  </si>
  <si>
    <t>Top 5 Customre Profit</t>
  </si>
  <si>
    <t>Sales by Months</t>
  </si>
  <si>
    <t>Column Labels</t>
  </si>
  <si>
    <t>Feb</t>
  </si>
  <si>
    <t>Mar</t>
  </si>
  <si>
    <t>Apr</t>
  </si>
  <si>
    <t>May</t>
  </si>
  <si>
    <t>June</t>
  </si>
  <si>
    <t>April</t>
  </si>
  <si>
    <t>July</t>
  </si>
  <si>
    <t>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</si>
</sst>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_);_([$$-409]* \(#,##0.0\);_([$$-409]* &quot;-&quot;??_);_(@_)"/>
    <numFmt numFmtId="165" formatCode="_(&quot;$&quot;* #,##0.0_);_(&quot;$&quot;* \(#,##0.0\);_(&quot;$&quot;* &quot;-&quot;??_);_(@_)"/>
    <numFmt numFmtId="166" formatCode="_(&quot;$&quot;* #,##0_);_(&quot;$&quot;* \(#,##0\);_(&quot;$&quot;* &quot;-&quot;??_);_(@_)"/>
  </numFmts>
  <fonts count="6">
    <font>
      <sz val="11"/>
      <color theme="1"/>
      <name val="Aptos Narrow"/>
      <family val="2"/>
      <scheme val="minor"/>
    </font>
    <font>
      <sz val="8"/>
      <name val="Aptos Narrow"/>
      <family val="2"/>
      <scheme val="minor"/>
    </font>
    <font>
      <b/>
      <sz val="12"/>
      <color theme="1"/>
      <name val="Aptos Narrow"/>
      <scheme val="minor"/>
    </font>
    <font>
      <sz val="11"/>
      <color theme="1"/>
      <name val="Aptos Narrow"/>
      <family val="2"/>
      <scheme val="minor"/>
    </font>
    <font>
      <b/>
      <sz val="11"/>
      <color theme="0"/>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23">
    <xf numFmtId="0" fontId="0" fillId="0" borderId="0" xfId="0"/>
    <xf numFmtId="16" fontId="0" fillId="0" borderId="0" xfId="0" applyNumberFormat="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NumberFormat="1"/>
    <xf numFmtId="0" fontId="2" fillId="0" borderId="0" xfId="0" applyFont="1"/>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0" fillId="2" borderId="1" xfId="0" applyFont="1" applyFill="1" applyBorder="1"/>
    <xf numFmtId="0" fontId="0" fillId="2" borderId="2" xfId="0" applyFont="1" applyFill="1" applyBorder="1" applyAlignment="1">
      <alignment horizontal="center" vertical="center"/>
    </xf>
    <xf numFmtId="0" fontId="0" fillId="0" borderId="1" xfId="0" applyFont="1" applyBorder="1"/>
    <xf numFmtId="0" fontId="0" fillId="0" borderId="2" xfId="0" applyFont="1" applyBorder="1" applyAlignment="1">
      <alignment horizontal="center" vertical="center"/>
    </xf>
    <xf numFmtId="0" fontId="5"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1" applyNumberFormat="1" applyFont="1"/>
    <xf numFmtId="165" fontId="4" fillId="3" borderId="1" xfId="1" applyNumberFormat="1" applyFont="1" applyFill="1" applyBorder="1" applyAlignment="1">
      <alignment horizontal="center" vertical="center"/>
    </xf>
    <xf numFmtId="165" fontId="0" fillId="2" borderId="1" xfId="1" applyNumberFormat="1" applyFont="1" applyFill="1" applyBorder="1" applyAlignment="1">
      <alignment horizontal="center"/>
    </xf>
    <xf numFmtId="165" fontId="0" fillId="0" borderId="1" xfId="1" applyNumberFormat="1" applyFont="1" applyBorder="1" applyAlignment="1">
      <alignment horizontal="center"/>
    </xf>
    <xf numFmtId="166" fontId="0" fillId="2" borderId="1" xfId="1" applyNumberFormat="1" applyFont="1" applyFill="1" applyBorder="1" applyAlignment="1">
      <alignment horizontal="center" vertical="center"/>
    </xf>
    <xf numFmtId="166" fontId="0" fillId="0" borderId="1" xfId="1" applyNumberFormat="1" applyFont="1" applyBorder="1" applyAlignment="1">
      <alignment horizontal="center" vertical="center"/>
    </xf>
  </cellXfs>
  <cellStyles count="2">
    <cellStyle name="Currency" xfId="1" builtinId="4"/>
    <cellStyle name="Normal" xfId="0" builtinId="0"/>
  </cellStyles>
  <dxfs count="484">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0" formatCode="General"/>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0" formatCode="General"/>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0" formatCode="General"/>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0" formatCode="General"/>
    </dxf>
    <dxf>
      <numFmt numFmtId="0" formatCode="General"/>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0" formatCode="General"/>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0" formatCode="General"/>
    </dxf>
    <dxf>
      <numFmt numFmtId="0" formatCode="General"/>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4" formatCode="_([$$-409]* #,##0.0_);_([$$-409]* \(#,##0.0\);_([$$-409]*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165" formatCode="_(&quot;$&quot;* #,##0.0_);_(&quot;$&quot;* \(#,##0.0\);_(&quot;$&quot;* &quot;-&quot;??_);_(@_)"/>
    </dxf>
    <dxf>
      <font>
        <sz val="12"/>
      </font>
    </dxf>
    <dxf>
      <numFmt numFmtId="0" formatCode="General"/>
    </dxf>
    <dxf>
      <numFmt numFmtId="165" formatCode="_(&quot;$&quot;* #,##0.0_);_(&quot;$&quot;* \(#,##0.0\);_(&quot;$&quot;* &quot;-&quot;??_);_(@_)"/>
    </dxf>
    <dxf>
      <font>
        <sz val="12"/>
      </font>
    </dxf>
    <dxf>
      <numFmt numFmtId="164" formatCode="_([$$-409]* #,##0.0_);_([$$-409]* \(#,##0.0\);_([$$-409]* &quot;-&quot;??_);_(@_)"/>
    </dxf>
    <dxf>
      <font>
        <sz val="12"/>
      </font>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1" formatCode="d\-mmm"/>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0000FF"/>
        </patternFill>
      </fill>
    </dxf>
  </dxfs>
  <tableStyles count="1" defaultTableStyle="TableStyleMedium2" defaultPivotStyle="PivotStyleLight16">
    <tableStyle name="Slicer Style 1" pivot="0" table="0" count="6" xr9:uid="{EA1A6C4A-F181-4CCA-8352-6EDED9659E12}">
      <tableStyleElement type="wholeTable" dxfId="483"/>
    </tableStyle>
  </tableStyles>
  <colors>
    <mruColors>
      <color rgb="FF0000FF"/>
    </mruColors>
  </colors>
  <extLst>
    <ext xmlns:x14="http://schemas.microsoft.com/office/spreadsheetml/2009/9/main" uri="{46F421CA-312F-682f-3DD2-61675219B42D}">
      <x14:dxfs count="4">
        <dxf>
          <font>
            <color theme="2" tint="-0.24994659260841701"/>
          </font>
          <fill>
            <patternFill>
              <fgColor theme="7" tint="-0.24994659260841701"/>
            </patternFill>
          </fill>
        </dxf>
        <dxf>
          <fill>
            <patternFill>
              <bgColor rgb="FF0000FF"/>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 2.xlsx]Pivot Table!PivotTable1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Table'!$C$6:$C$12</c:f>
              <c:strCache>
                <c:ptCount val="6"/>
                <c:pt idx="0">
                  <c:v>2021</c:v>
                </c:pt>
                <c:pt idx="1">
                  <c:v>2022</c:v>
                </c:pt>
                <c:pt idx="2">
                  <c:v>2023</c:v>
                </c:pt>
                <c:pt idx="3">
                  <c:v>2024</c:v>
                </c:pt>
                <c:pt idx="4">
                  <c:v>2025</c:v>
                </c:pt>
                <c:pt idx="5">
                  <c:v>2052</c:v>
                </c:pt>
              </c:strCache>
            </c:strRef>
          </c:cat>
          <c:val>
            <c:numRef>
              <c:f>'Pivot Table'!$D$6:$D$12</c:f>
              <c:numCache>
                <c:formatCode>_("$"* #,##0.0_);_("$"* \(#,##0.0\);_("$"* "-"??_);_(@_)</c:formatCode>
                <c:ptCount val="6"/>
                <c:pt idx="2">
                  <c:v>65.98</c:v>
                </c:pt>
                <c:pt idx="3">
                  <c:v>23.6</c:v>
                </c:pt>
                <c:pt idx="4">
                  <c:v>87.87</c:v>
                </c:pt>
              </c:numCache>
            </c:numRef>
          </c:val>
          <c:extLst>
            <c:ext xmlns:c16="http://schemas.microsoft.com/office/drawing/2014/chart" uri="{C3380CC4-5D6E-409C-BE32-E72D297353CC}">
              <c16:uniqueId val="{00000000-B496-4B8B-8B30-21C83A4C8FA2}"/>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Table'!$C$6:$C$12</c:f>
              <c:strCache>
                <c:ptCount val="6"/>
                <c:pt idx="0">
                  <c:v>2021</c:v>
                </c:pt>
                <c:pt idx="1">
                  <c:v>2022</c:v>
                </c:pt>
                <c:pt idx="2">
                  <c:v>2023</c:v>
                </c:pt>
                <c:pt idx="3">
                  <c:v>2024</c:v>
                </c:pt>
                <c:pt idx="4">
                  <c:v>2025</c:v>
                </c:pt>
                <c:pt idx="5">
                  <c:v>2052</c:v>
                </c:pt>
              </c:strCache>
            </c:strRef>
          </c:cat>
          <c:val>
            <c:numRef>
              <c:f>'Pivot Table'!$E$6:$E$12</c:f>
              <c:numCache>
                <c:formatCode>_("$"* #,##0.0_);_("$"* \(#,##0.0\);_("$"* "-"??_);_(@_)</c:formatCode>
                <c:ptCount val="6"/>
                <c:pt idx="0">
                  <c:v>292.70999999999998</c:v>
                </c:pt>
                <c:pt idx="1">
                  <c:v>67.98</c:v>
                </c:pt>
                <c:pt idx="2">
                  <c:v>284.89999999999998</c:v>
                </c:pt>
                <c:pt idx="3">
                  <c:v>980</c:v>
                </c:pt>
                <c:pt idx="5">
                  <c:v>229.98</c:v>
                </c:pt>
              </c:numCache>
            </c:numRef>
          </c:val>
          <c:extLst>
            <c:ext xmlns:c16="http://schemas.microsoft.com/office/drawing/2014/chart" uri="{C3380CC4-5D6E-409C-BE32-E72D297353CC}">
              <c16:uniqueId val="{00000006-9C84-4A14-B4CC-A251537739C4}"/>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Table'!$C$6:$C$12</c:f>
              <c:strCache>
                <c:ptCount val="6"/>
                <c:pt idx="0">
                  <c:v>2021</c:v>
                </c:pt>
                <c:pt idx="1">
                  <c:v>2022</c:v>
                </c:pt>
                <c:pt idx="2">
                  <c:v>2023</c:v>
                </c:pt>
                <c:pt idx="3">
                  <c:v>2024</c:v>
                </c:pt>
                <c:pt idx="4">
                  <c:v>2025</c:v>
                </c:pt>
                <c:pt idx="5">
                  <c:v>2052</c:v>
                </c:pt>
              </c:strCache>
            </c:strRef>
          </c:cat>
          <c:val>
            <c:numRef>
              <c:f>'Pivot Table'!$F$6:$F$12</c:f>
              <c:numCache>
                <c:formatCode>_("$"* #,##0.0_);_("$"* \(#,##0.0\);_("$"* "-"??_);_(@_)</c:formatCode>
                <c:ptCount val="6"/>
                <c:pt idx="0">
                  <c:v>366.97</c:v>
                </c:pt>
                <c:pt idx="2">
                  <c:v>2000.87</c:v>
                </c:pt>
                <c:pt idx="3">
                  <c:v>1386.76</c:v>
                </c:pt>
                <c:pt idx="4">
                  <c:v>230</c:v>
                </c:pt>
              </c:numCache>
            </c:numRef>
          </c:val>
          <c:extLst>
            <c:ext xmlns:c16="http://schemas.microsoft.com/office/drawing/2014/chart" uri="{C3380CC4-5D6E-409C-BE32-E72D297353CC}">
              <c16:uniqueId val="{00000007-9C84-4A14-B4CC-A251537739C4}"/>
            </c:ext>
          </c:extLst>
        </c:ser>
        <c:dLbls>
          <c:showLegendKey val="0"/>
          <c:showVal val="0"/>
          <c:showCatName val="0"/>
          <c:showSerName val="0"/>
          <c:showPercent val="0"/>
          <c:showBubbleSize val="0"/>
        </c:dLbls>
        <c:gapWidth val="219"/>
        <c:overlap val="-27"/>
        <c:axId val="904557072"/>
        <c:axId val="895549376"/>
      </c:barChart>
      <c:catAx>
        <c:axId val="9045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49376"/>
        <c:crosses val="autoZero"/>
        <c:auto val="1"/>
        <c:lblAlgn val="ctr"/>
        <c:lblOffset val="100"/>
        <c:noMultiLvlLbl val="0"/>
      </c:catAx>
      <c:valAx>
        <c:axId val="8955493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5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 2.xlsx]Pivot Table!PivotTable5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Table'!$AB$6:$AB$11</c:f>
              <c:strCache>
                <c:ptCount val="5"/>
                <c:pt idx="0">
                  <c:v>Javid</c:v>
                </c:pt>
                <c:pt idx="1">
                  <c:v>Vevick</c:v>
                </c:pt>
                <c:pt idx="2">
                  <c:v>Zain</c:v>
                </c:pt>
                <c:pt idx="3">
                  <c:v>Azlan Khan</c:v>
                </c:pt>
                <c:pt idx="4">
                  <c:v>Maick Brown</c:v>
                </c:pt>
              </c:strCache>
            </c:strRef>
          </c:cat>
          <c:val>
            <c:numRef>
              <c:f>'Pivot Table'!$AC$6:$AC$11</c:f>
              <c:numCache>
                <c:formatCode>_("$"* #,##0.0_);_("$"* \(#,##0.0\);_("$"* "-"??_);_(@_)</c:formatCode>
                <c:ptCount val="5"/>
                <c:pt idx="0">
                  <c:v>230</c:v>
                </c:pt>
                <c:pt idx="1">
                  <c:v>879</c:v>
                </c:pt>
                <c:pt idx="2">
                  <c:v>887</c:v>
                </c:pt>
                <c:pt idx="3">
                  <c:v>980</c:v>
                </c:pt>
                <c:pt idx="4">
                  <c:v>1696.73</c:v>
                </c:pt>
              </c:numCache>
            </c:numRef>
          </c:val>
          <c:extLst>
            <c:ext xmlns:c16="http://schemas.microsoft.com/office/drawing/2014/chart" uri="{C3380CC4-5D6E-409C-BE32-E72D297353CC}">
              <c16:uniqueId val="{00000000-EEA8-4D6B-BAD6-8685AE594BD9}"/>
            </c:ext>
          </c:extLst>
        </c:ser>
        <c:dLbls>
          <c:showLegendKey val="0"/>
          <c:showVal val="0"/>
          <c:showCatName val="0"/>
          <c:showSerName val="0"/>
          <c:showPercent val="0"/>
          <c:showBubbleSize val="0"/>
        </c:dLbls>
        <c:gapWidth val="150"/>
        <c:overlap val="100"/>
        <c:axId val="754235936"/>
        <c:axId val="547554096"/>
      </c:barChart>
      <c:catAx>
        <c:axId val="7542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54096"/>
        <c:crosses val="autoZero"/>
        <c:auto val="1"/>
        <c:lblAlgn val="ctr"/>
        <c:lblOffset val="100"/>
        <c:noMultiLvlLbl val="0"/>
      </c:catAx>
      <c:valAx>
        <c:axId val="54755409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3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Table'!$AB$18</c:f>
              <c:strCache>
                <c:ptCount val="1"/>
                <c:pt idx="0">
                  <c:v> Sales </c:v>
                </c:pt>
              </c:strCache>
            </c:strRef>
          </c:tx>
          <c:spPr>
            <a:solidFill>
              <a:schemeClr val="accent1"/>
            </a:solidFill>
            <a:ln>
              <a:noFill/>
            </a:ln>
            <a:effectLst/>
          </c:spPr>
          <c:invertIfNegative val="0"/>
          <c:cat>
            <c:strRef>
              <c:f>'Pivot Table'!$AA$19:$AA$43</c:f>
              <c:strCache>
                <c:ptCount val="25"/>
                <c:pt idx="0">
                  <c:v> Jan </c:v>
                </c:pt>
                <c:pt idx="1">
                  <c:v> Jan </c:v>
                </c:pt>
                <c:pt idx="2">
                  <c:v> Jan </c:v>
                </c:pt>
                <c:pt idx="3">
                  <c:v> Feb </c:v>
                </c:pt>
                <c:pt idx="4">
                  <c:v> Jan </c:v>
                </c:pt>
                <c:pt idx="5">
                  <c:v> Jan </c:v>
                </c:pt>
                <c:pt idx="6">
                  <c:v> Mar </c:v>
                </c:pt>
                <c:pt idx="7">
                  <c:v> Feb </c:v>
                </c:pt>
                <c:pt idx="8">
                  <c:v> Jan </c:v>
                </c:pt>
                <c:pt idx="9">
                  <c:v> Jan </c:v>
                </c:pt>
                <c:pt idx="10">
                  <c:v> Jan </c:v>
                </c:pt>
                <c:pt idx="11">
                  <c:v> Mar </c:v>
                </c:pt>
                <c:pt idx="12">
                  <c:v> Feb </c:v>
                </c:pt>
                <c:pt idx="13">
                  <c:v> Apr </c:v>
                </c:pt>
                <c:pt idx="14">
                  <c:v> Mar </c:v>
                </c:pt>
                <c:pt idx="15">
                  <c:v> Feb </c:v>
                </c:pt>
                <c:pt idx="16">
                  <c:v> April </c:v>
                </c:pt>
                <c:pt idx="17">
                  <c:v> May </c:v>
                </c:pt>
                <c:pt idx="18">
                  <c:v> May </c:v>
                </c:pt>
                <c:pt idx="19">
                  <c:v> Apr </c:v>
                </c:pt>
                <c:pt idx="20">
                  <c:v> June </c:v>
                </c:pt>
                <c:pt idx="21">
                  <c:v> May </c:v>
                </c:pt>
                <c:pt idx="22">
                  <c:v> July </c:v>
                </c:pt>
                <c:pt idx="23">
                  <c:v> June </c:v>
                </c:pt>
                <c:pt idx="24">
                  <c:v> June </c:v>
                </c:pt>
              </c:strCache>
            </c:strRef>
          </c:cat>
          <c:val>
            <c:numRef>
              <c:f>'Pivot Table'!$AB$19:$AB$43</c:f>
              <c:numCache>
                <c:formatCode>_("$"* #,##0_);_("$"* \(#,##0\);_("$"* "-"??_);_(@_)</c:formatCode>
                <c:ptCount val="25"/>
                <c:pt idx="0">
                  <c:v>890.55</c:v>
                </c:pt>
                <c:pt idx="1">
                  <c:v>993.98</c:v>
                </c:pt>
                <c:pt idx="2">
                  <c:v>2900.33</c:v>
                </c:pt>
                <c:pt idx="3">
                  <c:v>1200.6600000000001</c:v>
                </c:pt>
                <c:pt idx="4">
                  <c:v>1006.87</c:v>
                </c:pt>
                <c:pt idx="5">
                  <c:v>1002.76</c:v>
                </c:pt>
                <c:pt idx="6">
                  <c:v>14.87</c:v>
                </c:pt>
                <c:pt idx="7">
                  <c:v>1200.8699999999999</c:v>
                </c:pt>
                <c:pt idx="8">
                  <c:v>1398.76</c:v>
                </c:pt>
                <c:pt idx="9">
                  <c:v>1578.98</c:v>
                </c:pt>
                <c:pt idx="10">
                  <c:v>1490.88</c:v>
                </c:pt>
                <c:pt idx="11">
                  <c:v>1906.9</c:v>
                </c:pt>
                <c:pt idx="12">
                  <c:v>1097.8900000000001</c:v>
                </c:pt>
                <c:pt idx="13">
                  <c:v>1709.87</c:v>
                </c:pt>
                <c:pt idx="14">
                  <c:v>1098.98</c:v>
                </c:pt>
                <c:pt idx="15">
                  <c:v>209.78</c:v>
                </c:pt>
                <c:pt idx="16">
                  <c:v>9017</c:v>
                </c:pt>
                <c:pt idx="17">
                  <c:v>988.98</c:v>
                </c:pt>
                <c:pt idx="18">
                  <c:v>900.98</c:v>
                </c:pt>
                <c:pt idx="19">
                  <c:v>1097.98</c:v>
                </c:pt>
                <c:pt idx="20">
                  <c:v>1989.98</c:v>
                </c:pt>
                <c:pt idx="21">
                  <c:v>1909.9</c:v>
                </c:pt>
                <c:pt idx="22">
                  <c:v>1547.98</c:v>
                </c:pt>
                <c:pt idx="23">
                  <c:v>1544.87</c:v>
                </c:pt>
                <c:pt idx="24">
                  <c:v>32.700000000000003</c:v>
                </c:pt>
              </c:numCache>
            </c:numRef>
          </c:val>
          <c:extLst>
            <c:ext xmlns:c16="http://schemas.microsoft.com/office/drawing/2014/chart" uri="{C3380CC4-5D6E-409C-BE32-E72D297353CC}">
              <c16:uniqueId val="{00000000-F577-425A-BB62-40DE0A96E21E}"/>
            </c:ext>
          </c:extLst>
        </c:ser>
        <c:dLbls>
          <c:showLegendKey val="0"/>
          <c:showVal val="0"/>
          <c:showCatName val="0"/>
          <c:showSerName val="0"/>
          <c:showPercent val="0"/>
          <c:showBubbleSize val="0"/>
        </c:dLbls>
        <c:gapWidth val="219"/>
        <c:overlap val="-27"/>
        <c:axId val="899779904"/>
        <c:axId val="907450176"/>
      </c:barChart>
      <c:catAx>
        <c:axId val="8997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50176"/>
        <c:crosses val="autoZero"/>
        <c:auto val="1"/>
        <c:lblAlgn val="ctr"/>
        <c:lblOffset val="100"/>
        <c:noMultiLvlLbl val="0"/>
      </c:catAx>
      <c:valAx>
        <c:axId val="9074501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79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 2.xlsx]Pivot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Profit</a:t>
            </a:r>
            <a:r>
              <a:rPr lang="en-US" b="1" baseline="0">
                <a:solidFill>
                  <a:schemeClr val="bg1"/>
                </a:solidFill>
              </a:rPr>
              <a:t> by Year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a:outerShdw blurRad="50800" dist="38100" dir="2700000" algn="tl" rotWithShape="0">
              <a:prstClr val="black">
                <a:alpha val="40000"/>
              </a:prstClr>
            </a:outerShdw>
          </a:effectLst>
        </c:spPr>
      </c:pivotFmt>
      <c:pivotFmt>
        <c:idx val="10"/>
        <c:spPr>
          <a:solidFill>
            <a:schemeClr val="bg1"/>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6.1580012422111356E-2"/>
          <c:y val="6.6765912073490807E-2"/>
          <c:w val="0.92093441150044919"/>
          <c:h val="0.73753075787401579"/>
        </c:manualLayout>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Table'!$C$6:$C$12</c:f>
              <c:strCache>
                <c:ptCount val="6"/>
                <c:pt idx="0">
                  <c:v>2021</c:v>
                </c:pt>
                <c:pt idx="1">
                  <c:v>2022</c:v>
                </c:pt>
                <c:pt idx="2">
                  <c:v>2023</c:v>
                </c:pt>
                <c:pt idx="3">
                  <c:v>2024</c:v>
                </c:pt>
                <c:pt idx="4">
                  <c:v>2025</c:v>
                </c:pt>
                <c:pt idx="5">
                  <c:v>2052</c:v>
                </c:pt>
              </c:strCache>
            </c:strRef>
          </c:cat>
          <c:val>
            <c:numRef>
              <c:f>'Pivot Table'!$D$6:$D$12</c:f>
              <c:numCache>
                <c:formatCode>_("$"* #,##0.0_);_("$"* \(#,##0.0\);_("$"* "-"??_);_(@_)</c:formatCode>
                <c:ptCount val="6"/>
                <c:pt idx="2">
                  <c:v>65.98</c:v>
                </c:pt>
                <c:pt idx="3">
                  <c:v>23.6</c:v>
                </c:pt>
                <c:pt idx="4">
                  <c:v>87.87</c:v>
                </c:pt>
              </c:numCache>
            </c:numRef>
          </c:val>
          <c:extLst>
            <c:ext xmlns:c16="http://schemas.microsoft.com/office/drawing/2014/chart" uri="{C3380CC4-5D6E-409C-BE32-E72D297353CC}">
              <c16:uniqueId val="{00000000-1ED7-4872-828C-45903C2CA2CB}"/>
            </c:ext>
          </c:extLst>
        </c:ser>
        <c:ser>
          <c:idx val="1"/>
          <c:order val="1"/>
          <c:tx>
            <c:strRef>
              <c:f>'Pivot Table'!$E$4:$E$5</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Table'!$C$6:$C$12</c:f>
              <c:strCache>
                <c:ptCount val="6"/>
                <c:pt idx="0">
                  <c:v>2021</c:v>
                </c:pt>
                <c:pt idx="1">
                  <c:v>2022</c:v>
                </c:pt>
                <c:pt idx="2">
                  <c:v>2023</c:v>
                </c:pt>
                <c:pt idx="3">
                  <c:v>2024</c:v>
                </c:pt>
                <c:pt idx="4">
                  <c:v>2025</c:v>
                </c:pt>
                <c:pt idx="5">
                  <c:v>2052</c:v>
                </c:pt>
              </c:strCache>
            </c:strRef>
          </c:cat>
          <c:val>
            <c:numRef>
              <c:f>'Pivot Table'!$E$6:$E$12</c:f>
              <c:numCache>
                <c:formatCode>_("$"* #,##0.0_);_("$"* \(#,##0.0\);_("$"* "-"??_);_(@_)</c:formatCode>
                <c:ptCount val="6"/>
                <c:pt idx="0">
                  <c:v>292.70999999999998</c:v>
                </c:pt>
                <c:pt idx="1">
                  <c:v>67.98</c:v>
                </c:pt>
                <c:pt idx="2">
                  <c:v>284.89999999999998</c:v>
                </c:pt>
                <c:pt idx="3">
                  <c:v>980</c:v>
                </c:pt>
                <c:pt idx="5">
                  <c:v>229.98</c:v>
                </c:pt>
              </c:numCache>
            </c:numRef>
          </c:val>
          <c:extLst>
            <c:ext xmlns:c16="http://schemas.microsoft.com/office/drawing/2014/chart" uri="{C3380CC4-5D6E-409C-BE32-E72D297353CC}">
              <c16:uniqueId val="{00000006-C5C6-4F70-823C-D18E86F5CCE0}"/>
            </c:ext>
          </c:extLst>
        </c:ser>
        <c:ser>
          <c:idx val="2"/>
          <c:order val="2"/>
          <c:tx>
            <c:strRef>
              <c:f>'Pivot Table'!$F$4:$F$5</c:f>
              <c:strCache>
                <c:ptCount val="1"/>
                <c:pt idx="0">
                  <c:v>Technology</c:v>
                </c:pt>
              </c:strCache>
            </c:strRef>
          </c:tx>
          <c:spPr>
            <a:solidFill>
              <a:schemeClr val="bg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Table'!$C$6:$C$12</c:f>
              <c:strCache>
                <c:ptCount val="6"/>
                <c:pt idx="0">
                  <c:v>2021</c:v>
                </c:pt>
                <c:pt idx="1">
                  <c:v>2022</c:v>
                </c:pt>
                <c:pt idx="2">
                  <c:v>2023</c:v>
                </c:pt>
                <c:pt idx="3">
                  <c:v>2024</c:v>
                </c:pt>
                <c:pt idx="4">
                  <c:v>2025</c:v>
                </c:pt>
                <c:pt idx="5">
                  <c:v>2052</c:v>
                </c:pt>
              </c:strCache>
            </c:strRef>
          </c:cat>
          <c:val>
            <c:numRef>
              <c:f>'Pivot Table'!$F$6:$F$12</c:f>
              <c:numCache>
                <c:formatCode>_("$"* #,##0.0_);_("$"* \(#,##0.0\);_("$"* "-"??_);_(@_)</c:formatCode>
                <c:ptCount val="6"/>
                <c:pt idx="0">
                  <c:v>366.97</c:v>
                </c:pt>
                <c:pt idx="2">
                  <c:v>2000.87</c:v>
                </c:pt>
                <c:pt idx="3">
                  <c:v>1386.76</c:v>
                </c:pt>
                <c:pt idx="4">
                  <c:v>230</c:v>
                </c:pt>
              </c:numCache>
            </c:numRef>
          </c:val>
          <c:extLst>
            <c:ext xmlns:c16="http://schemas.microsoft.com/office/drawing/2014/chart" uri="{C3380CC4-5D6E-409C-BE32-E72D297353CC}">
              <c16:uniqueId val="{00000007-C5C6-4F70-823C-D18E86F5CCE0}"/>
            </c:ext>
          </c:extLst>
        </c:ser>
        <c:dLbls>
          <c:dLblPos val="outEnd"/>
          <c:showLegendKey val="0"/>
          <c:showVal val="1"/>
          <c:showCatName val="0"/>
          <c:showSerName val="0"/>
          <c:showPercent val="0"/>
          <c:showBubbleSize val="0"/>
        </c:dLbls>
        <c:gapWidth val="146"/>
        <c:axId val="904557072"/>
        <c:axId val="895549376"/>
      </c:barChart>
      <c:catAx>
        <c:axId val="9045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49376"/>
        <c:crosses val="autoZero"/>
        <c:auto val="1"/>
        <c:lblAlgn val="ctr"/>
        <c:lblOffset val="100"/>
        <c:noMultiLvlLbl val="0"/>
      </c:catAx>
      <c:valAx>
        <c:axId val="895549376"/>
        <c:scaling>
          <c:orientation val="minMax"/>
        </c:scaling>
        <c:delete val="1"/>
        <c:axPos val="l"/>
        <c:numFmt formatCode="_(&quot;$&quot;* #,##0.0_);_(&quot;$&quot;* \(#,##0.0\);_(&quot;$&quot;* &quot;-&quot;??_);_(@_)" sourceLinked="1"/>
        <c:majorTickMark val="none"/>
        <c:minorTickMark val="none"/>
        <c:tickLblPos val="nextTo"/>
        <c:crossAx val="904557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 2.xlsx]Pivot Table!PivotTable3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Custome Count</a:t>
            </a:r>
          </a:p>
        </c:rich>
      </c:tx>
      <c:layout>
        <c:manualLayout>
          <c:xMode val="edge"/>
          <c:yMode val="edge"/>
          <c:x val="0.3223412354956971"/>
          <c:y val="5.0352929184822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a:outerShdw blurRad="50800" dist="50800" dir="5400000" sx="49000" sy="49000" algn="ctr" rotWithShape="0">
                <a:srgbClr val="000000">
                  <a:alpha val="43137"/>
                </a:srgb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0.29145989459092414"/>
          <c:y val="0.21785694263945166"/>
          <c:w val="0.40411700548155344"/>
          <c:h val="0.73172642254669618"/>
        </c:manualLayout>
      </c:layout>
      <c:doughnutChart>
        <c:varyColors val="1"/>
        <c:ser>
          <c:idx val="0"/>
          <c:order val="0"/>
          <c:tx>
            <c:strRef>
              <c:f>'Pivot Table'!$T$5</c:f>
              <c:strCache>
                <c:ptCount val="1"/>
                <c:pt idx="0">
                  <c:v>Total</c:v>
                </c:pt>
              </c:strCache>
            </c:strRef>
          </c:tx>
          <c:spPr>
            <a:ln>
              <a:noFill/>
            </a:ln>
          </c:spPr>
          <c:explosion val="7"/>
          <c:dPt>
            <c:idx val="0"/>
            <c:bubble3D val="0"/>
            <c:explosion val="13"/>
            <c:spPr>
              <a:solidFill>
                <a:schemeClr val="accent1"/>
              </a:solidFill>
              <a:ln w="19050">
                <a:noFill/>
              </a:ln>
              <a:effectLst/>
            </c:spPr>
            <c:extLst>
              <c:ext xmlns:c16="http://schemas.microsoft.com/office/drawing/2014/chart" uri="{C3380CC4-5D6E-409C-BE32-E72D297353CC}">
                <c16:uniqueId val="{00000001-D209-4FA9-83F2-70740AC52614}"/>
              </c:ext>
            </c:extLst>
          </c:dPt>
          <c:dPt>
            <c:idx val="1"/>
            <c:bubble3D val="0"/>
            <c:spPr>
              <a:solidFill>
                <a:schemeClr val="accent2"/>
              </a:solidFill>
              <a:ln w="19050">
                <a:noFill/>
              </a:ln>
              <a:effectLst/>
            </c:spPr>
            <c:extLst>
              <c:ext xmlns:c16="http://schemas.microsoft.com/office/drawing/2014/chart" uri="{C3380CC4-5D6E-409C-BE32-E72D297353CC}">
                <c16:uniqueId val="{00000003-D209-4FA9-83F2-70740AC52614}"/>
              </c:ext>
            </c:extLst>
          </c:dPt>
          <c:dPt>
            <c:idx val="2"/>
            <c:bubble3D val="0"/>
            <c:spPr>
              <a:solidFill>
                <a:schemeClr val="accent3"/>
              </a:solidFill>
              <a:ln w="19050">
                <a:noFill/>
              </a:ln>
              <a:effectLst/>
            </c:spPr>
            <c:extLst>
              <c:ext xmlns:c16="http://schemas.microsoft.com/office/drawing/2014/chart" uri="{C3380CC4-5D6E-409C-BE32-E72D297353CC}">
                <c16:uniqueId val="{00000005-D209-4FA9-83F2-70740AC52614}"/>
              </c:ext>
            </c:extLst>
          </c:dPt>
          <c:dPt>
            <c:idx val="3"/>
            <c:bubble3D val="0"/>
            <c:spPr>
              <a:solidFill>
                <a:schemeClr val="accent4"/>
              </a:solidFill>
              <a:ln w="19050">
                <a:noFill/>
              </a:ln>
              <a:effectLst/>
            </c:spPr>
            <c:extLst>
              <c:ext xmlns:c16="http://schemas.microsoft.com/office/drawing/2014/chart" uri="{C3380CC4-5D6E-409C-BE32-E72D297353CC}">
                <c16:uniqueId val="{00000007-D209-4FA9-83F2-70740AC52614}"/>
              </c:ext>
            </c:extLst>
          </c:dPt>
          <c:dPt>
            <c:idx val="4"/>
            <c:bubble3D val="0"/>
            <c:spPr>
              <a:solidFill>
                <a:schemeClr val="accent5"/>
              </a:solidFill>
              <a:ln w="19050">
                <a:noFill/>
              </a:ln>
              <a:effectLst/>
            </c:spPr>
            <c:extLst>
              <c:ext xmlns:c16="http://schemas.microsoft.com/office/drawing/2014/chart" uri="{C3380CC4-5D6E-409C-BE32-E72D297353CC}">
                <c16:uniqueId val="{00000009-D209-4FA9-83F2-70740AC52614}"/>
              </c:ext>
            </c:extLst>
          </c:dPt>
          <c:dPt>
            <c:idx val="5"/>
            <c:bubble3D val="0"/>
            <c:spPr>
              <a:solidFill>
                <a:schemeClr val="accent6"/>
              </a:solidFill>
              <a:ln w="19050">
                <a:noFill/>
              </a:ln>
              <a:effectLst/>
            </c:spPr>
            <c:extLst>
              <c:ext xmlns:c16="http://schemas.microsoft.com/office/drawing/2014/chart" uri="{C3380CC4-5D6E-409C-BE32-E72D297353CC}">
                <c16:uniqueId val="{0000000B-D209-4FA9-83F2-70740AC52614}"/>
              </c:ext>
            </c:extLst>
          </c:dPt>
          <c:dLbls>
            <c:spPr>
              <a:noFill/>
              <a:ln>
                <a:noFill/>
              </a:ln>
              <a:effectLst>
                <a:outerShdw blurRad="50800" dist="50800" dir="5400000" sx="49000" sy="49000" algn="ctr" rotWithShape="0">
                  <a:srgbClr val="000000">
                    <a:alpha val="43137"/>
                  </a:srgb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Table'!$S$6:$S$12</c:f>
              <c:strCache>
                <c:ptCount val="6"/>
                <c:pt idx="0">
                  <c:v>2021</c:v>
                </c:pt>
                <c:pt idx="1">
                  <c:v>2022</c:v>
                </c:pt>
                <c:pt idx="2">
                  <c:v>2023</c:v>
                </c:pt>
                <c:pt idx="3">
                  <c:v>2024</c:v>
                </c:pt>
                <c:pt idx="4">
                  <c:v>2025</c:v>
                </c:pt>
                <c:pt idx="5">
                  <c:v>2052</c:v>
                </c:pt>
              </c:strCache>
            </c:strRef>
          </c:cat>
          <c:val>
            <c:numRef>
              <c:f>'Pivot Table'!$T$6:$T$12</c:f>
              <c:numCache>
                <c:formatCode>General</c:formatCode>
                <c:ptCount val="6"/>
                <c:pt idx="0">
                  <c:v>6</c:v>
                </c:pt>
                <c:pt idx="1">
                  <c:v>1</c:v>
                </c:pt>
                <c:pt idx="2">
                  <c:v>7</c:v>
                </c:pt>
                <c:pt idx="3">
                  <c:v>6</c:v>
                </c:pt>
                <c:pt idx="4">
                  <c:v>2</c:v>
                </c:pt>
                <c:pt idx="5">
                  <c:v>1</c:v>
                </c:pt>
              </c:numCache>
            </c:numRef>
          </c:val>
          <c:extLst>
            <c:ext xmlns:c16="http://schemas.microsoft.com/office/drawing/2014/chart" uri="{C3380CC4-5D6E-409C-BE32-E72D297353CC}">
              <c16:uniqueId val="{0000000C-D209-4FA9-83F2-70740AC52614}"/>
            </c:ext>
          </c:extLst>
        </c:ser>
        <c:dLbls>
          <c:showLegendKey val="0"/>
          <c:showVal val="1"/>
          <c:showCatName val="0"/>
          <c:showSerName val="0"/>
          <c:showPercent val="0"/>
          <c:showBubbleSize val="0"/>
          <c:showLeaderLines val="1"/>
        </c:dLbls>
        <c:firstSliceAng val="0"/>
        <c:holeSize val="51"/>
      </c:doughnutChart>
      <c:spPr>
        <a:noFill/>
        <a:ln>
          <a:noFill/>
        </a:ln>
        <a:effectLst>
          <a:softEdge rad="0"/>
        </a:effectLst>
      </c:spPr>
    </c:plotArea>
    <c:legend>
      <c:legendPos val="r"/>
      <c:layout>
        <c:manualLayout>
          <c:xMode val="edge"/>
          <c:yMode val="edge"/>
          <c:x val="0.85120094572628824"/>
          <c:y val="0.23703539484748873"/>
          <c:w val="0.12735133309408711"/>
          <c:h val="0.686897026221236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[Reports 2.xlsx]Pivot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 5 Customers Profit</a:t>
            </a:r>
          </a:p>
        </c:rich>
      </c:tx>
      <c:layout>
        <c:manualLayout>
          <c:xMode val="edge"/>
          <c:yMode val="edge"/>
          <c:x val="0.48812706524008992"/>
          <c:y val="5.14539642940672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20000"/>
              <a:lumOff val="8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111448237457059"/>
          <c:y val="0.14435331722148592"/>
          <c:w val="0.46682455644682475"/>
          <c:h val="0.85564668277851408"/>
        </c:manualLayout>
      </c:layout>
      <c:barChart>
        <c:barDir val="bar"/>
        <c:grouping val="stacked"/>
        <c:varyColors val="0"/>
        <c:ser>
          <c:idx val="0"/>
          <c:order val="0"/>
          <c:tx>
            <c:strRef>
              <c:f>'Pivot Table'!$AC$5</c:f>
              <c:strCache>
                <c:ptCount val="1"/>
                <c:pt idx="0">
                  <c:v>Total</c:v>
                </c:pt>
              </c:strCache>
            </c:strRef>
          </c:tx>
          <c:spPr>
            <a:solidFill>
              <a:schemeClr val="accent1">
                <a:lumMod val="20000"/>
                <a:lumOff val="8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Table'!$AB$6:$AB$11</c:f>
              <c:strCache>
                <c:ptCount val="5"/>
                <c:pt idx="0">
                  <c:v>Javid</c:v>
                </c:pt>
                <c:pt idx="1">
                  <c:v>Vevick</c:v>
                </c:pt>
                <c:pt idx="2">
                  <c:v>Zain</c:v>
                </c:pt>
                <c:pt idx="3">
                  <c:v>Azlan Khan</c:v>
                </c:pt>
                <c:pt idx="4">
                  <c:v>Maick Brown</c:v>
                </c:pt>
              </c:strCache>
            </c:strRef>
          </c:cat>
          <c:val>
            <c:numRef>
              <c:f>'Pivot Table'!$AC$6:$AC$11</c:f>
              <c:numCache>
                <c:formatCode>_("$"* #,##0.0_);_("$"* \(#,##0.0\);_("$"* "-"??_);_(@_)</c:formatCode>
                <c:ptCount val="5"/>
                <c:pt idx="0">
                  <c:v>230</c:v>
                </c:pt>
                <c:pt idx="1">
                  <c:v>879</c:v>
                </c:pt>
                <c:pt idx="2">
                  <c:v>887</c:v>
                </c:pt>
                <c:pt idx="3">
                  <c:v>980</c:v>
                </c:pt>
                <c:pt idx="4">
                  <c:v>1696.73</c:v>
                </c:pt>
              </c:numCache>
            </c:numRef>
          </c:val>
          <c:extLst>
            <c:ext xmlns:c16="http://schemas.microsoft.com/office/drawing/2014/chart" uri="{C3380CC4-5D6E-409C-BE32-E72D297353CC}">
              <c16:uniqueId val="{00000000-8F4F-4240-828A-5F3F34806AC0}"/>
            </c:ext>
          </c:extLst>
        </c:ser>
        <c:dLbls>
          <c:dLblPos val="ctr"/>
          <c:showLegendKey val="0"/>
          <c:showVal val="1"/>
          <c:showCatName val="0"/>
          <c:showSerName val="0"/>
          <c:showPercent val="0"/>
          <c:showBubbleSize val="0"/>
        </c:dLbls>
        <c:gapWidth val="48"/>
        <c:overlap val="100"/>
        <c:axId val="754235936"/>
        <c:axId val="547554096"/>
      </c:barChart>
      <c:catAx>
        <c:axId val="754235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54096"/>
        <c:crosses val="autoZero"/>
        <c:auto val="1"/>
        <c:lblAlgn val="ctr"/>
        <c:lblOffset val="100"/>
        <c:noMultiLvlLbl val="0"/>
      </c:catAx>
      <c:valAx>
        <c:axId val="547554096"/>
        <c:scaling>
          <c:orientation val="minMax"/>
        </c:scaling>
        <c:delete val="1"/>
        <c:axPos val="b"/>
        <c:numFmt formatCode="_(&quot;$&quot;* #,##0.0_);_(&quot;$&quot;* \(#,##0.0\);_(&quot;$&quot;* &quot;-&quot;??_);_(@_)" sourceLinked="1"/>
        <c:majorTickMark val="out"/>
        <c:minorTickMark val="none"/>
        <c:tickLblPos val="nextTo"/>
        <c:crossAx val="75423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bg1"/>
                </a:solidFill>
              </a:rPr>
              <a:t>Sales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9272886552781428E-2"/>
          <c:y val="0"/>
          <c:w val="0.96145422689443716"/>
          <c:h val="0.8460223301102906"/>
        </c:manualLayout>
      </c:layout>
      <c:barChart>
        <c:barDir val="col"/>
        <c:grouping val="clustered"/>
        <c:varyColors val="0"/>
        <c:ser>
          <c:idx val="0"/>
          <c:order val="0"/>
          <c:tx>
            <c:strRef>
              <c:f>'Pivot Table'!$AB$18</c:f>
              <c:strCache>
                <c:ptCount val="1"/>
                <c:pt idx="0">
                  <c:v> Sales </c:v>
                </c:pt>
              </c:strCache>
            </c:strRef>
          </c:tx>
          <c:spPr>
            <a:solidFill>
              <a:schemeClr val="accent1"/>
            </a:solidFill>
            <a:ln>
              <a:noFill/>
            </a:ln>
            <a:effectLst/>
          </c:spPr>
          <c:invertIfNegative val="0"/>
          <c:dLbls>
            <c:dLbl>
              <c:idx val="4"/>
              <c:layout>
                <c:manualLayout>
                  <c:x val="0"/>
                  <c:y val="-0.1036269430051814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A3-4B4F-824C-C40F0EDDA676}"/>
                </c:ext>
              </c:extLst>
            </c:dLbl>
            <c:dLbl>
              <c:idx val="8"/>
              <c:layout>
                <c:manualLayout>
                  <c:x val="-5.2562417871222077E-3"/>
                  <c:y val="-6.21761658031088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A3-4B4F-824C-C40F0EDDA676}"/>
                </c:ext>
              </c:extLst>
            </c:dLbl>
            <c:dLbl>
              <c:idx val="10"/>
              <c:layout>
                <c:manualLayout>
                  <c:x val="-7.0083223828296742E-3"/>
                  <c:y val="-7.5993091537132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A3-4B4F-824C-C40F0EDDA676}"/>
                </c:ext>
              </c:extLst>
            </c:dLbl>
            <c:dLbl>
              <c:idx val="21"/>
              <c:layout>
                <c:manualLayout>
                  <c:x val="0"/>
                  <c:y val="-8.29015544041450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A3-4B4F-824C-C40F0EDDA676}"/>
                </c:ext>
              </c:extLst>
            </c:dLbl>
            <c:dLbl>
              <c:idx val="22"/>
              <c:layout>
                <c:manualLayout>
                  <c:x val="0"/>
                  <c:y val="-3.45423143350604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A3-4B4F-824C-C40F0EDDA676}"/>
                </c:ext>
              </c:extLst>
            </c:dLbl>
            <c:dLbl>
              <c:idx val="23"/>
              <c:layout>
                <c:manualLayout>
                  <c:x val="-1.28484426088822E-16"/>
                  <c:y val="1.38169257340241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0A3-4B4F-824C-C40F0EDDA6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Table'!$AA$19:$AA$43</c:f>
              <c:strCache>
                <c:ptCount val="25"/>
                <c:pt idx="0">
                  <c:v> Jan </c:v>
                </c:pt>
                <c:pt idx="1">
                  <c:v> Jan </c:v>
                </c:pt>
                <c:pt idx="2">
                  <c:v> Jan </c:v>
                </c:pt>
                <c:pt idx="3">
                  <c:v> Feb </c:v>
                </c:pt>
                <c:pt idx="4">
                  <c:v> Jan </c:v>
                </c:pt>
                <c:pt idx="5">
                  <c:v> Jan </c:v>
                </c:pt>
                <c:pt idx="6">
                  <c:v> Mar </c:v>
                </c:pt>
                <c:pt idx="7">
                  <c:v> Feb </c:v>
                </c:pt>
                <c:pt idx="8">
                  <c:v> Jan </c:v>
                </c:pt>
                <c:pt idx="9">
                  <c:v> Jan </c:v>
                </c:pt>
                <c:pt idx="10">
                  <c:v> Jan </c:v>
                </c:pt>
                <c:pt idx="11">
                  <c:v> Mar </c:v>
                </c:pt>
                <c:pt idx="12">
                  <c:v> Feb </c:v>
                </c:pt>
                <c:pt idx="13">
                  <c:v> Apr </c:v>
                </c:pt>
                <c:pt idx="14">
                  <c:v> Mar </c:v>
                </c:pt>
                <c:pt idx="15">
                  <c:v> Feb </c:v>
                </c:pt>
                <c:pt idx="16">
                  <c:v> April </c:v>
                </c:pt>
                <c:pt idx="17">
                  <c:v> May </c:v>
                </c:pt>
                <c:pt idx="18">
                  <c:v> May </c:v>
                </c:pt>
                <c:pt idx="19">
                  <c:v> Apr </c:v>
                </c:pt>
                <c:pt idx="20">
                  <c:v> June </c:v>
                </c:pt>
                <c:pt idx="21">
                  <c:v> May </c:v>
                </c:pt>
                <c:pt idx="22">
                  <c:v> July </c:v>
                </c:pt>
                <c:pt idx="23">
                  <c:v> June </c:v>
                </c:pt>
                <c:pt idx="24">
                  <c:v> June </c:v>
                </c:pt>
              </c:strCache>
            </c:strRef>
          </c:cat>
          <c:val>
            <c:numRef>
              <c:f>'Pivot Table'!$AB$19:$AB$43</c:f>
              <c:numCache>
                <c:formatCode>_("$"* #,##0_);_("$"* \(#,##0\);_("$"* "-"??_);_(@_)</c:formatCode>
                <c:ptCount val="25"/>
                <c:pt idx="0">
                  <c:v>890.55</c:v>
                </c:pt>
                <c:pt idx="1">
                  <c:v>993.98</c:v>
                </c:pt>
                <c:pt idx="2">
                  <c:v>2900.33</c:v>
                </c:pt>
                <c:pt idx="3">
                  <c:v>1200.6600000000001</c:v>
                </c:pt>
                <c:pt idx="4">
                  <c:v>1006.87</c:v>
                </c:pt>
                <c:pt idx="5">
                  <c:v>1002.76</c:v>
                </c:pt>
                <c:pt idx="6">
                  <c:v>14.87</c:v>
                </c:pt>
                <c:pt idx="7">
                  <c:v>1200.8699999999999</c:v>
                </c:pt>
                <c:pt idx="8">
                  <c:v>1398.76</c:v>
                </c:pt>
                <c:pt idx="9">
                  <c:v>1578.98</c:v>
                </c:pt>
                <c:pt idx="10">
                  <c:v>1490.88</c:v>
                </c:pt>
                <c:pt idx="11">
                  <c:v>1906.9</c:v>
                </c:pt>
                <c:pt idx="12">
                  <c:v>1097.8900000000001</c:v>
                </c:pt>
                <c:pt idx="13">
                  <c:v>1709.87</c:v>
                </c:pt>
                <c:pt idx="14">
                  <c:v>1098.98</c:v>
                </c:pt>
                <c:pt idx="15">
                  <c:v>209.78</c:v>
                </c:pt>
                <c:pt idx="16">
                  <c:v>9017</c:v>
                </c:pt>
                <c:pt idx="17">
                  <c:v>988.98</c:v>
                </c:pt>
                <c:pt idx="18">
                  <c:v>900.98</c:v>
                </c:pt>
                <c:pt idx="19">
                  <c:v>1097.98</c:v>
                </c:pt>
                <c:pt idx="20">
                  <c:v>1989.98</c:v>
                </c:pt>
                <c:pt idx="21">
                  <c:v>1909.9</c:v>
                </c:pt>
                <c:pt idx="22">
                  <c:v>1547.98</c:v>
                </c:pt>
                <c:pt idx="23">
                  <c:v>1544.87</c:v>
                </c:pt>
                <c:pt idx="24">
                  <c:v>32.700000000000003</c:v>
                </c:pt>
              </c:numCache>
            </c:numRef>
          </c:val>
          <c:extLst>
            <c:ext xmlns:c16="http://schemas.microsoft.com/office/drawing/2014/chart" uri="{C3380CC4-5D6E-409C-BE32-E72D297353CC}">
              <c16:uniqueId val="{00000000-40A3-4B4F-824C-C40F0EDDA676}"/>
            </c:ext>
          </c:extLst>
        </c:ser>
        <c:dLbls>
          <c:dLblPos val="outEnd"/>
          <c:showLegendKey val="0"/>
          <c:showVal val="1"/>
          <c:showCatName val="0"/>
          <c:showSerName val="0"/>
          <c:showPercent val="0"/>
          <c:showBubbleSize val="0"/>
        </c:dLbls>
        <c:gapWidth val="72"/>
        <c:overlap val="-27"/>
        <c:axId val="899779904"/>
        <c:axId val="907450176"/>
      </c:barChart>
      <c:catAx>
        <c:axId val="8997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50176"/>
        <c:crosses val="autoZero"/>
        <c:auto val="1"/>
        <c:lblAlgn val="ctr"/>
        <c:lblOffset val="100"/>
        <c:noMultiLvlLbl val="0"/>
      </c:catAx>
      <c:valAx>
        <c:axId val="907450176"/>
        <c:scaling>
          <c:orientation val="minMax"/>
        </c:scaling>
        <c:delete val="1"/>
        <c:axPos val="l"/>
        <c:numFmt formatCode="_(&quot;$&quot;* #,##0_);_(&quot;$&quot;* \(#,##0\);_(&quot;$&quot;* &quot;-&quot;??_);_(@_)" sourceLinked="1"/>
        <c:majorTickMark val="none"/>
        <c:minorTickMark val="none"/>
        <c:tickLblPos val="nextTo"/>
        <c:crossAx val="89977990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plotArea>
      <cx:plotAreaRegion>
        <cx:series layoutId="funnel" uniqueId="{50A4B52C-54F4-4781-BDB9-32B0C5638A29}">
          <cx:tx>
            <cx:txData>
              <cx:f>_xlchart.v2.5</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E8E9E454-7A19-43D8-9199-97746E1CB0D8}">
          <cx:tx>
            <cx:txData>
              <cx:f>_xlchart.v5.2</cx:f>
              <cx:v>Sales</cx:v>
            </cx:txData>
          </cx:tx>
          <cx:dataId val="0"/>
          <cx:layoutPr>
            <cx:geography cultureLanguage="en-US" cultureRegion="PK" attribution="Powered by Bing">
              <cx:geoCache provider="{E9337A44-BEBE-4D9F-B70C-5C5E7DAFC167}">
                <cx:binary>1Hppb904tu1fCfL5KcVJItXoauBJZ/QYO6PzRXDZjkQNHERJJPXr7z5OqjpJVafuAy4ecI0EybGk
I3KPa63Nfz6Efzz0T/fjizD0yv3jIfz6spkm849ffnEPzdNw714N8mHUTn+eXj3o4Rf9+bN8ePrl
cbz3UtW/EITZLw/N/Tg9hZf/+id8W/2kL/TD/SS1upmfxnj75OZ+cj+59peXXtw/DlJtpJtG+TDh
X1+eP6lpfujiyxfwHznFt9E8/fryu7tevvjlx+/603tf9LC0aX6EZyl/lRJORJaS/PlHvHzRa1V/
vZyI9BURnHOKKXr+SX9/99X9AM//d1b0vJ77x8fxyTnY0vO/3z753frhwt3LFw96VtPJbjWY8NeX
75Scnh5fvJnupyf38oV0uvxyQ6lPm3j35nnXv3xv+X/984dfgB1++M03zvnRaH936U++efsU7mFt
/2OOwa9YRgUTGH8xPP7eMXn+ilJKcs7/7bgv7/7imL9dzl975etjP7jk7cf/lS55L8daKnn/P+gV
SBdMRE4z/pfpwsWrLBcozdHX6/T3d3/xyn9nRX/tmH8/+YNv3v/f/xW++XlGf5s13935/1rO8lcp
oilnlH/JGrD/t+UMsgZhQTOasy/+Y9/754dC85+X9ddO+uHx73by/6mK/ecK90cb2NxP99vn/vFN
kfv51d+r4w+P/qzafbHd8fHXlwQxwb9x5OlLvj75JSsu78fY36vH333xzUNP92769WXC01eIcY6y
DDGEaI6yly/805dL+SuWo5TmaYq4wAQalNLj1EBvy19xQoQQOctSqJUIgsHp+fkSfyUENDWeQaxw
xOHS71t8rftYa/WHPb5+fqHm4bWWanK/voSXmy93nVaawutRJhASKEd5TjIGQWUe7m8BG8DN+P8o
NLfj0HTrgdc4XYtqYeqiDnV8N+CwlHWdpuU35vmLF56+8IcXcsqhzhBYuWAZNO1vXzj1eTMlaxYP
IbTjDUqWpcwyL/c/f0v+57eInBPKWJoxTAj64S2pQ4tNm3CIk5V7T4K96fS4lJIzs0WJ7wvsRr9h
tk1unefh3c9fn+bQ4n7YJs4QyQVlgoCRc/L9AuY5CrlEPh10n/VhF3yz7nreoMPCUnERSDOehTaM
bh8rPuDCVLRyxWhkIksHVeKNFimuC12JeOl8I01RY9YXYvXdLpIO7u11HIaS9sm6FMG0mSrSysW0
nESMn+0Uu1vaim6zBrEeGpYuZcUzezZkqf1YSRv31TIksjA1jkOhLbW2yAhfD8gG/DajxFyNvsNv
SVjC64nO1ZnPnLkXwyBR6fQSPzcOdrSofnnfzyruXRvURYWTvhwrKXDpNVEXTYX0p0ZGc4drBA/6
IPMLZwPZ4iyrbvOFD9NmcQbpI5hKDWWNETxbCcbontQLbBNxR7Z8leRt1FFseNDNdWpXdaFZPvZF
X5O+MFyON7pfaF0s3E9lO3FRuKxZL1ca5KFCg9/QSo5n3UzsjRum6mydedhnFvdHO62wHDot71s0
LO9tu2ZvwDtkuzpEtoqkfTlnwT5E7SEfOIYY8iq+a6ZK381oBc9Yo9Ah8znkkB+rMzqp/CLDiTxY
28TPfjbxHRrhkYhG9yHTQlxUoWZHW0/47dyv7kM7eXURtM4vhkGARfLWsrZgg0+GIptXVHR9b7bO
VH3p1UK22pLu1mRNXsy4zsqW6PGBVfCx7jCmZd2StT4kQbhCsdk+BAfpLJIp7jM590ctwLmRG78J
c9s3G0fVqLYoc/3ROCGKaU27DWdJ2Ce46m5rj7tdJhp7xRBPyz6vl6cORVSoaep2Q48QFA2sP8lg
l/dVrtfL3C7wVbSJezNUosABdpz7xFxV3SnZE5teJzVaSpbDXjLW5sWUN0O5dB2E4tKo5Ql3Mu6j
JOy6ZuCJaslFwZSJmyGhbNj0Zga7drW5532elsFXbbuZQgJ8RDdVdZuhyj4AzlkvlW/iO+IHuVca
kqEfbbdLOjU9ojbDbyWTftPU/brDCdjW1eDHdj6Z+hSivQrLUxxh92sXSV3YFTzBMh33DEP8j91i
7vqaV2e96+584uazRo7DdS0+ozlHSyGTIWsKVw3k2Lj0EyLRfiRVNb+vCcRmQZJO7gnSYsNY/4lV
fHmaGDdXpk0hKANZytCAozKeTLvKMnNtBsqu88mn13Os8Fslnbmb00x/SiYG0cq7dTeSSn+iQxrP
W5qkb4KIwhRJK/JSKK/va8GdKiWNSZGPebd53pxoIAmcdsltiEZNmyDb9dKL6D4Yl3S3UU9YFEsN
9sETrs5C3w5l5pE8TJpwXIYqyH0a5Phg+gyBm4Zu5mVshP2IZZdftChyus0ItVdTRmpBPogux112
t2jlpwc5zuxOYjV09WGhq2IHOa2J2gKj8/NltL5Kz3xNZ3ZLuxgLy0J8h0WcSp3NjSpwGsaNtWu2
gzhMUTERkqtChwlK06yuZp2TYoIIO2NJ93pCLrnRqL9N0vmKDWbYiYanN+uYQu3kgV6Naf2mSqur
IbF0gzgkUU3W5jiQ7p1LGd7OfTVvZxZ/k2KYt2yZH7uGDMdE1Q9xZs2xWbO6UHg2F3pY/LZPl1C6
qp4esXR2W0t3HiZb7Xo/4rOwdvkGx5GXPU/rTW1qecVWFi+T3CyxHNfqLGvFWdIZu5G9VWth8soe
GUH9hiSBlRbVaTHIbtHF0Pefa7NOoqCp4vvZsVjmTN1GxeWWDEl+3ja1uXRZ63dZAwlr2wGfy1iF
7ZyL+rhGcCTBCzoilSyHgetYmomKrfYJKQ0VkJYKt/sGcVOSZEDnPpX5Ya7xGzpU+S5j3F1gldN+
S8D2D854n5WpzZO1GFbwYVH303IgRvJdhv0npavxYnakLxVB87H2Od4ALsg6aGGZ3cTKPVDt532d
1tDzoIGL3dJAm2tImLatyuwtTTNc4Klzu3qZm1A0XdIWuQifRLq0haddOFehXgrRd91dnlSal1nI
4j6Xi/Qlz4zY5KloSr4wCkIFtTeAzsSOzSnlRwP1FW0iFJGmsJ0hrjCQV5esd+bcr9W61QSRIwnG
bWjTQFa5bV13tlAaIjBOOD0z2RjerZ625dgOSymcOvh+Q5dEn+ExW+9Nj9IjicP61rRG1yV2+SGs
aX4c5iq+lh1dN0s127NuMKzMSD9AuHdL0fu62zpG2Q13rANwEPFc1KMfCmTEzibLsE3yfi18SuOG
5bT9yLNaFgJFv2NVXIo5X5KdbXpdzPVw0+MEerlE/iglDbRgy7Kpkzp/34sa73sJEZ9R3RzFEqpt
7it2qXPNZNH55HaYgrjCdo1nUYxLX7A0b9jWZuPwxGp71VQrv8jDRLKSeT/WRZ+SdDOwprs0bsVH
0wzclrLJxvN+rejd3PLICp563hbE9+68iXUnyha36MkMw9BvGFdZ2KAWLcfV2rw0QzLuZ9ynd76f
pdysnWwv2FS7h4G2GbrEji1rXWCF6/QuXxA6+KZzskAAn9siCarb8SZdftMt1uXU+xMuMPYmhKnf
ZHZReiuWQZ4noe+7ooq85RB+Q3Mc6TJe5NZpVo7Bub7wOpWHoETlylbq9DqSSh7WRpnfiBGJK0cT
u5NvUPEMkdqWQh/q8XpoU6cuclKlUJzN9Chk5U1Ze6K7HeocNBwDVfiz6nuxMTGpbk3HTznQAUzg
FTLVpk5nAESNHErbmPR6lTK5TbQxsF1Jm93cyU5saiTScgCQ12xYFsxvwcyr2TYpOAmv0J3jDKjw
C/iykuC3LY7u0bS8FRuSNrA/PFR9VYQYyRZgaPYmdBZg2Qkwqi1ZWLdpG9IfKc/URT+u64Eh5zeD
9lCMx7Zui8EQW22a1EFzzwed3Ko6n99LQuvregCkodLMXNXr8ypy+5EmGcDSytpTUV6H+HlqAZPI
nAM8ya3Fr6EMqkdqMr1skjpboGsvUCprKETFMMJyojNx3+Bkft9IBL7DNhGqRMMY9/WQxXO0tLD/
efGbuoZergFs3RlXD6WLJ/ibZ/qOT6E/EgdboDXDb8UQ4mcRjdyHtdJb1cq8wNK7WMS0QqTQhvbH
juT25m9IBP4zieCUCCCN6Fm2QT9wpXROqOmjHw/BQi2JXJp2a4c87nQMEBVS+U3eUP55IXE5SEHr
XYLJvWjNB69qupUptKkk9fVmNoO+XEbC7hZj1KVcaXeO0EA/EdY14dLURi3nY9OIY5XhboOYXHcy
gCEHcOGhzmV6jXBjtmMYACf0Q34BjXvdqUDjOWsARY129ht98ixhc3K71GP2Jkl5/DyIGqUFUYwl
BXUQ2xnLAG943R/nGQKnqTRgJSApgAfrDm5aGQfXj/UAGfCMkYJa7Y3q7cmX+QkudQCk8iF1BUMy
e8NoZ7YkVOaqo1hctLOF3o+B6tVLs7yv16Ruijwl/aeRzl12NvUrXy5s5WswkpQ1lAI3hW1adw0q
Z0OrPjlQ2s50LFMyJY5tYEOKvNcVw4Wz1HRHnq19feyglWyq9fSLCoBUtUFO4KysZIbFUqSAdM5z
xNwj72kwUAUBS42oadWmqhrYca1yvQ0Q/E3RB4BQPGBUJBHAFdAYdADWA6EtmPuAWoD4ROG0dGmi
x3LIzXoZRgDMomHmt9jO3W6Uk9zPC3Q11Pn1UK0TALlGZfP7Sfaf+Ai4fQ3Y3AnfU7kZo1wAzIPt
8s4LebauYHxI9uR2bAk9YkjYm44ucl91DVelSKf+OKVC34eY6HsWMfRk0hNSqAD+pJMYXwMDEBfR
or6YPZCtDEYVH9QAGDIETI8oTPrTdMLUqsn7shmmxZds7cNSxN7PO7zWw3F0LaBFxWkBPYvfDHSc
3yM8ky1RRN+nbpR7xADZGgysZTOqFTJv0th9IC0QeWt7czVxyZuiYkHfT5USGyomQKQVYxMvdbpC
jjg0K1wEDBcntNoHrQJYZVj7wgEqL1LJ1oNqoBZZY0ENIR5SPeSn0tUM7bpLIwfiPRD70UcuLrAH
eutMk1/U2IxnMnJ1kdVguBEK114hkpZaqOW9YMBfJh/lXpyYdy4A5g8d8HIugZ4Ir9bPArJ03Uqx
mrsuG14vgZvfpnkCmoPS+hor5orBN1mJGXypSk6A5bTqwHIQD4TUEBi6P/mA+v6IT6kagMlCI+n8
xgBJ/ZTaMO/COLRZ0SJPtvMigZGeSIMMCIhTE5i9QWoEz+gWWsBzDTSqVtWJY8fzjgoIVQAbwKdp
BqY6kUHd83i+1lm8DAuoGs9hSAJQXwhviw5hTuIlq4FpUhftzTPTVhTCZ/C8LzMMjNUOwD56heWh
Z9DIepGJi7nK0vKZliV1AmZgFhgFCD1g+pOAskoRd50BIu6b5vMo1ni5QrqpMsQamoAPoEGIGlQD
ZEJ3aw0LQwHAIwd8CK1w1jy8tvMCooiawMW1R/0xrLAjlOUEyPMKKahzD9JHlTUgu3QoLc2c6G3e
QggqEEz8Vg2QMXUY0mvSZekbaDRoBMFhcR+mdgQlZmWd/bhSBgJFOnn7ULfAdB2a4juVQJpXZOyP
yYnU0pRBWQMmVZ09M+REALEWjquxVKuEbxoIkGy7QomjGF7/zJs5A4YWOtDMlG7YMUHJE0LrCabw
BNzXD9CkrEPd7ktoSpCMDANKrjSubhHu1YXRpNvYlIkLMTn7UWPQLrCrQcuYTzKOH2hzvTBAuGWN
JijuCXGPus/1p1CPYjMim194DnVW+wZM2KR2fECKgkO6bsZbB7B16zKARVMLOX2KZzueyrCrtDvv
XQ9KUC45YI1uhMfzycZzSaHRNie10dv21AUAGH/CAkKCrbN7nG2l7xtc1dd8NkDXx1P8dAyAF1Si
os9gO9VJdXiGFSIHZaruVHc7+AXYO4M2mXFM3j73BjyB9DaLurnmUPKB74N4tSQpu+Z1kkKr8Lm4
sDlY2MaOvPVjXMp8YKBbaEAgDGhI2WQtfmsy6go5gyNzEOaOsUfqYqWzukgJgIfh5IMG8NKdc340
u3HVAIo8hmrG6uV99ABPTAe6CNI9eZsMCoot1LGP2glz12R9dQa8MSufpZhlArFIEFOd1arxmzaA
kOGgmpgS4GW3q0WACNFhPcwTgMwBEns/UQrqk+4hKSJa9KeeJCAMetDqqKwAok0AWGhm/YaAqLeF
Zg/B81xmAwdrAGOP56Nm9QdgU9EUkQwnHOcCsP+RhtcjkOV3hgNaSlYPVHFxCxgTQXlrFsijLqfQ
tbLFALamEGsJqm6DB52C9GGQR8VSe+ZND+LNqVRSBEYZO9pdr4J04EqZgtqQuC21OfSHBqgq5OQI
qqCaeLzkOcZvqeXzE1dV2E+w9ELZDhJX5gD+TK/Nb24YAXJYt/bHVkGSSSOba8LVp2VJwWorT+iR
iAZSZenABlOPAIUu3n4EVNKyYg6xgqaMdA64ZU7llU8QFFlvAU5oXdEyj0vcLDM4PIpuvewISJnP
H58TMw4ttJgEz+ND6qGnGmgqR7VO4XUgSdwNTSv32mtIaMnsWc1TKDJLCpHNDF/TYk3lemmyFZCw
53EXXPd5ZqvOto0D4vAs0HFnPjECjMCfUEAMFqCwIeu8BwIHO/ZH3rf+MAt2t451s1lPCvgERHY7
pxxe1ulZnE3VpIufw1V8QqPfK/s444RTylNMOc9Po4ZvRgmzpnowrZ0OTII4XGbrnF7zbCLbevLV
WWRQ2pocwPdUo/Ca13rYti6lhxXAQV0p4C6K2jNHl3iuvLEf55mx60WS8A5Kwrr7m8XC/ORPixWY
EpqJNM/yHxcruOj4klB3SCRFxeJU9iYa4GIIt811MgMxAbUCgChegBR1kwNoBVLGWQeY5741IK0+
O/vni3qeSnxvQZj/EQZDPgGznT/NRuoZIjmXtTsMA7UQaDmtNk7M9mL1ybIfx7nZAHtft5FS0Caq
GUS21oB3eXNicmzpblsPQUX7DKpBlepHI3t+I7LabKHKAjBMRm0LO6XJ5ucr/wumgrMv3udcUBBL
vvf9SPJO13UyHeqE2LMqB90GlHtAj7a1401/El9XasVmgZr4yUXoIsor4IXzlH6dvXwdDr7+Yq8v
I64HbeIo6+br8ZQ/Pv7rrR7gz/ORiX//8nS65d+fLn8/FvPTu/ZP+jTncz/edFrNH98Fi/m6utN4
8LsPf5pV/j6q+2Ea+eWUzX+4+N8bVaZpDlOwP07Q/GlSWd738rMevzlT8DwBfH7q66gSY/YKw1Au
RRkhaQqZ8ceoEhP2ioGEijKGRAY9Dbjq11klIzCY5oDMEMMwQ8QCCsPvs0ryCqaXgsG8TwiY+sGY
7Pc9fudIOHT09fO3s8ofowzOJmSY4ExknCLKCIN56bcVZlqpNnaew5XyNN8uvoJypmnLu7LjfrnJ
kjSetWFR3RahbrqbNFvedcwFW7hc2Q/fWO+vVgNzYPNNtp5Ww2CwByeMGEyJSXZi79/UO6ai6XJQ
Eq6IVfiq7lbAyjPXWVOGZdJ5sXg23/HFABweBzFZyIWxq4tqdZyVML1Uj/k0oWv4jmbeENCE3q1p
IvA+Zmn1hGOCw98UPfLD7PV5xRnPRE7ylCPx41SUAT0C38bpioa0rjdZWPt3C5ATuoPeqqHxxoDb
jeRQTVaeRVnEDtH9sIwRb8ZFT48NSF64lIlJAYJIvRTTcCKzfEy7elvrtnndzfnZ4PLGbeCUQ/7e
Nfa8630attIl2aUcm2X4m1Hvn90ARybgzArhGcQGfd70N27gMalhuNS7KzVV+XtdQ3EqWEcgNIya
w2sfxvyNqXD/8efuP8Xat97nmHMsOAVSAEN9Qk/L+ua1KYIZHuhG6kqJFV/hrpmvlBtLKarm/c/f
9ENfRac35YggzkSGczgn8P2bjGJxtWOjr4RB7N56Pfb7Csa8pOhMs0UWZoglRVHosqWpH/4uaE6j
8u83CoFCUgK6cpZBdfjh9XC+Tja1GuQVt116P7Rzet/1pzWAPOe22ah1ERG4fu976wko5po/gZrv
jj6P7CJkdEQl9a3uypar4R0dDaGbBqbUTyZZzAYl68DLFJTl8ZBSAA1/B0v+7CjBT2WDAn+Dcxjs
dFTgG0ehbE5VmlbJJZ6r4V6OkwNZOOkmxQoao6rPYLze/VaL3FyE1Ta7TLMgT+MQ/nni66phmFUD
/9Tt8iRHyh+X1DT87Ocuhhn/j1amDMAIByQCtRWy84RXvlllNgqJxmaily2zpspBnwAWsw9ToPlu
WuYZ1GaLbpYhpnPRNA0vR6z2joxm3zNDyq63w63p0yEUHMYEH3w7wEzdTVNhUmveZQ6k4MqqCvhv
28pCTrT1RdU6deVN4q5tslIYYuAcpPG1gkE8WZrhkGZTf0va+nUdFQ1FP3MY4lX27QQzJbrJFlDo
sIwEagOb17VAXrQXfZOKuwrN7KzJBL5Y67DkpUcNA1bdR3lMxAhqio9i3WAPOGRtw4NxdnozowTE
Gz9MfFc5Ox9ZRchb22Df7YHXYlmsTVf9llM0wmhV2eTTPPBhY4wjx04rc8Q27x/lYjLIezp0b2Re
BV4sltVnYzXOZQQ77EE+ya+tH8KW+dHuMA54gTkdx3W5+FrYciFNtR0cHUEyza+bCgj3BmM9HaDV
EF8qmBsXYuL9xzCg5pyMuXmT0indz3mbkJ3LhvVeZHrcOhQAsy6dAEk2BHRPXO8/u9oYUOLIhOZC
1WSpd2FqNSSH99sIgyyxG3XVbPqJDgcFtxbQgEYNhh4WXrSubZOSV54XXKdhLdjUVyWdEjXsx6zb
1myO6MZTzOBQ7ghKXAuRNIE853O3D5SHi6xb1766mb2dhqGIso9qfGyqhpD1zvkk8AHo7wilXD/A
bKqd6FjM0zwbdDV109CFs1zadb/k81Qdh1GCWtCSXr9BJz7VAiSdyxl8UBWgA+YB3DUIQHkVqCgw
X+m83Wadr1E59jBGvm4syrg+dJH7ZhNDn08XmZsoRJSvQNTz5Qy9cJclTVtdL5A6WV1aYQQEHO3c
sFO9HPOit9C8qm1YZFYmVY6BsMUKKVZqmLoPZZPPvtr5nvfD1lWACnapqoe1FGsKFVORjs3l0IxJ
D/A/1u61g4n9sNW1FJ+TeeESbZAm014yMYurNKnq6kxRPvG0LVVwMPsCORGqW7M1dcOHbeWW1e7y
0Sm5i302xANyMFMCGTn2suQhjf1+lFYmJbiVfEjMsOINpVk3bOAvSq77FiUOTK7Uh3YY8uFIx3zq
t10zZbfrDJx+1yaa4PPGN4CsC96QZtpX42LUG2jG9KytV9LtZgMr2OqpBz1R4LDC7L+Nxl8OIkJo
J5Aq46bCeD4baZr2m7qi9bzhagF3Su4An6i1petT39E82whYwLChMD2yR4wkO4A024Ec3XUwIZda
Vpt1rrq0SEDkyF+3lW9ZSSXQNRj7tGtyjqqe7bCpYFTNm5ybLY7Nqo+NxL7edjlrfHG6D4R9mSsI
n5paOM4hYW48BZl8glMzGg4rSMgjAuMqJVeYZi4sgZlt78l8lZk86o3K7XSZzgpaUu14dzrdMMD5
410lG6zuVhC8mjMbBziF5Xy6ynM81dNb1pL0Pg0VKIYCQ/DuZhXgoILLVgmLn3ELx0yo7VwpfLWV
WNq73oN+U8A8ZHnj0sz/ZsaGHuC8UV1tRZeCGg0zQPietNdt2IGQiq/WYGBW66YUv8VTAnf4LHGi
nHDkYbuQoZWHMRDij4qDXnktE56/V8iegrNtrdvz3jXudYhsEiWycOClaLyChWkHRfccOlj+ngoE
0T1AlRw3AudBHyeXV+R1O85dd0uEytkxsBbOUkxhOoHPJobXaZdkAYb7A7xaa1D/i0CGad2jjp82
f1o6zI9O6zIDvmKpgl3MNgVTwfSxW8u8WyB1TF938kaBFFcV4wyooIZrUFPJpJpri1kcVUFNA2e7
Gj+G+XJIGgOSGZotHIc7HWvcxsWSU9GAZCphR1BAQo5POBmOgr2vCM3PxCKlKESTdhAXsc7uvToN
+sLYxls6BeTOYb5J2nNtVNe+gaMsfu8Uwlc2r+1/sXNmy3Hjyrp+IqwgCAIkb1mDZnmQpdXWDcOy
vThP4MynPx8t79ht9Tl2rPvT0d0VUpWKBAgkMv8hP3uOa7oohZ9yr5sAbuomTptkQvbidzMJ7qou
oDrm4uD43fq1KAv9fhl7p7nsnHUq/j2baq/EY1H9Z93CPYZkHXIp6oAAas1d0/7cmir8N/hWda7m
NunABAhzq53Tj1kz9DdhVeT6qF3rJoQ97XEcpW74ZHMxJafSrdkmm4hVeOUBzXbfKwLyeh1IltRp
3iP2KdeCGV2mbTpxyMzdjbQjlHocIqfgpFXgfb7t8mcbTuEnsZKmX2/hYOW3oa9XGAMp/ekqm12+
aqlkukFDJSa5anks80EUoTlvzTQNd8vqlw/51HdR4PeXXgWaf7nNhodTOLLfLtqyaJo7CHjvVgyO
B7TZ1dV0k6xzm8IP9VX6iUyk/+aENWGE0NlPUZH2cw+cOgUdp8DaPZRJJ7O/ZLOpYIo2MrD1EZGJ
CPmyPran1BdFci3idn5JE2Sh6GJ6U1xloSM/LL2Itws7dn12yraRRZq5Q67eL0W56fvKtGWJCm9y
zJ0nU285rGQ3/WlOW57aHNSwfHbzK2IHhP1JLgrR0FS6gb3Ygo7VX3hL4iM7WZ3+ELe96f496xV4
OrWsNU668Im1XvXv67BGDTa6bZifgyo1c7SMn91gnAMZFcXkP2q3BlCcdTJ4d15cBtNHuPLQcriz
ok9tpniaFA7rcpupoWhufdum6r27OKW5ipcmZFzLIpK7wgpIk6rf2WWysXG4K8uY+0e0lZz7NCjS
47w4ztXaeez71Rg/ixAA+nc/stL/j6S8eo9+kbj/ot/eVdD/byDljVL+b2Lx/e9+QinG/CsECkWj
DZpHSv+/qm/pA4pIN9w5fa0B+SgFfiIpvvwXjI+Pxt99VYP/hFFk8K9QuRp0RaKpQ9fs/zcwivoV
+9yvKF2EDKCf1BsqcPda5G+1RilzW3Ni6O+BjIcxPLmt10KaOe2UbU9aj23xxRNW9+e6W/vVOw7u
gpT6IJrYeUlq69Xi0LhL4V+HqV7HYxGKurucw6rs76hAWrFGTbHo9kUXQ740R2FMmcOsUZvJ7wh4
1/FjmS5++QU+ro2/KrBOc5+YrGsVIQucoDx4rUZKmUrYp/qYlNoWAD2zrqpb6a8dt5xUaFpu3ErV
+X9EPzX8zd8e6f8F3fkVVfDMLtmmDjNeaHh82AB+nSNfVtmYmjT4Hs9NnXeXQ+WVHiTl1Fv/cuuT
AR0ZvCqQW+nEmRv/oer+AZj+b9XN9amrEX94KiDPkv/Qj5ODBb1xTPYtl5Aj2WFolFbk56Eruvxs
lzmxw5GCMfHSSHhia+v3s6fW3oUi3sysrgeT1j0iMbTdVt6jdut47/dzZH6pWT2OaIW8nSVkKFn3
ZfnrHC1pJlBKK/HNCDs57jHZ/MTvzmUAwYQ+2A7GPJMZxcPV76/75tns1/VCD38EWRXg1Nvrov5t
/Eao4FtCVtebaHKAf/5KqRhr6oc8G7N3dYxLcqBSblzX/AFR2AGDvz0aLg8SI0H8Qsp4lz3067AT
PWXCWVL1TfilD0yvZ8foL2wkMVw1W+aX95mQjbxTRbeOD0UPOQv3mWYlk/L7ifjnncBTIJjRu30D
X9Abl0MK7l/myMq/eWZmy51XaTZOKG1nNKCoCWLPPNuRKQAANb5vnhsyGwtymjVOO//hqfyKs7Aa
NPaRANTY6B09Vm9Ww2AyJ1+LOv4ah1ut7UXTIf9eTyIGDkTNHdiFJfL78cs3kYxroqFhl7BRFeE0
eDMBSbjlOmwH8YL02q8EdHC6b4gKlwA+zJFyZPMOWUW+3KLjcBUToTMnHR+q1uQrQgpp64ewSitb
w4c31v1YTVndv/z+Nn/Fdjwf0b3jgRFr6RPDlXkTS6hCAzjzbXlZ7GBZBM5YODwfZ5mVFiSzCEMf
WpeSahfVz83+krXJ+Ifn84/JkhA0+DLRMQRgeYS2X9dt0Ln9sPamealLLYjhOdFrmwF9ESboGxVr
4n6fjLYA5NM1EdW2lZX6MhAkrEXUpUTbPfJTws3c4VZON95StE31h7Ai3y5ruU+S7xo/wCOkzVuL
0KLmug3rTb30sWsENOHQt+X4vtuGrK0RCKwdNyf8auK9Zu2qZj1CxK7iYW7b+IqEq8yTQ4Vcf72h
cAUWjmpcWfFwGLUjyo8k7ckGxKXChZDoinyV9bVDis+3FqgwscL8/vm/4S2IVNQEkIzGkQiTNYv1
15lnZdZISqf22deNztGTIMpkKWIGCEN7kDsjDZ23vkbPcvR4b/wRTloZB7y1zAN0/Xmc1Z/3kPc2
irtkG5jQIM5dNDz/WBbFAqBCYdQ+U9BmtjspsELvzpUp2j7VjyvTEcZTuT1VKSpQPxpTCxd+IODP
5mPSbbG4tBWSlCcrxt7cB5nZE4TFm6oyvChGvT+eplchS2idfD19bG1ebE9bCR5URE5Z7odWxuzz
gJo6TPmlgvXbntBdLjw7pfOVl35zkgHRo+5Vfzb+uD+7YkkyEozux+VRsot1joJmyfmKhuSBO89E
vecGQ6ur4svSm7prz+Fk5YRusNmGW2uL2EZlWVm3OogkrpbLxONw/VwHdew9Tc4kWWR+kJBnTF2N
1PMPa+Nt1GT28fDBJCgPQ5+Sb5aGikGgZdiWz5useptQiSOy71EV5ygk1djNBIrfr8a30ciFWXZg
6faslLP77RXBBvsUhc/8WUHQsxjn0dvDn9v7BYe3wTZnnmMgIBYhGAto+Z1PYGGd/v423LcjB+zG
UcZZoaEXds77102xqWnsRGiqp8qrq0Ghghq1+N50aUc0Qqtdy5ON/SZ7P/VBQsRpU91AMgWDi+UB
3z9yFnSISXdTxgGyZGXLYI36WZrp4xAIJzug4FuaGxaRk6J582JKUw95677ZU4d12Ewp2cVVnBfD
vvMnT6t3Lud9u0aqQOgyXfx+xG/jWgAT6pBuMGpGCxD75rQqTJzWc9f7j3hT8AidtLUo69xp29et
R5LlXYJgLCzbBRENL8nwI7MVpt2XtBrz2Y0f4sXsS9rtsq2ylxlsyh4iO+xq8tyVU9tnF5teC3Zd
PFd7Ti1XtIJP1pcd2+j3Q3J38udvuRBUcRBwbBLVeIISd96vD7FTSOGavHYfgyFV7K0BKTE3MAgF
SvxzH7sOdjF5jtNl3+LEyj2k2LbjoBGpJI2XYKP8qgFuK76UYe7jAprLfR66dW7MfdwtfCpL1T5E
RH6mPxfCt+rc4j1Q/WHlvGC4fxjamyyToYUSkhnmCLOqR77369CGpZB+OTbro0qmPVINtmNpbeWW
NV8HJyjcGrNH021Pvotrpogq0UgeyGKqMllPW2XAGc+hEuP8SJZqmQ7cDYrVp6aNaFJnAoHThTeX
7R7dRsLmZea2M2FtICPhgtkQO/xEjSWZiirxmIph8FMxHHQ55myJNHRzfnqdnz0UFl9+Pwlv9ij2
XLzHnF86oOx0/pHqynnzzGo68WnCFER0eE1v3TRYpuJAZQkx+Kew8OY42i/pKRJ7oHP+I2v6ddqd
HKW1aRf/Uz9KVsiwDgMLirOf+fHy1mv0KZ5Fs/SRKQGm7WU5xTUpC0GPWQJpLIf3vumDOD/HgwcE
QxXiTh8tVntOgEqw8Yel5qD6+diSDv0tSA5iOfYKu2h/HEmx7A9C5JnkJVzzcProNFXDneii4Gwq
zLDXqb+fbSw4b7cT7LxWBAmUGGRBbysb0sEexmlZP6XpigowGsZCtYd4duL83ribZ9dTl1rTBlGI
0y1PI2u7rLt2yhFGP2rJdsQN0nnh3cVV6qsDZPGSfHWyEvtLPHrmWPh1U37z8nKzH6vGVLSJASCf
33mTdJbtGCCY0+2hI3/sx/M862C6t10KNhWZChXcLfSbDI91bUN5yJdhtDFuO0C0PMK3aYHekgWT
ZxFNm51X9MlC515+RjQyeg+mHFYvOTiLHDF3teGMoJP8DYPc1ZD6ZGYHfyvnbaOsZSm2V0uxxiM6
PszN5yn0E3XUlVi2T2gJ3exp9MokPipvcOVhpT5tVoTjgN/HMHPBdBNdJpcYxIdj1zjzdhOHteNc
yFmm7hl5YZA6p7ZoKu9x1VNSiMewcZbl0863DneiH5CjcWL44zdtjbGPeAaSuonappFp/yFENwEr
mYFuAKB6QdVEyJ+Ui5/Mbn0XvMgqD+pvqds203Jkqazdd1izeXbgaede5pfI0zsdHKkDdGku4koU
5j6UIKDFxWRwnJXp9zSo1cAsI6APrIeTuZlY0pu0qHo/KOMMxjnVtde2/tUYQnWUt7XGm5Oc8gm9
3XQ7oynMsnOMjXjUH+MaB+aVyb00Cc6sFaOKqJ02h2O97INsxjssPNPhGojtlq9Xc9KLFON8VnHa
HIpw9giwU5uN+q9GjEbD7s96FvFhVqQt8n5sybow8q4qWMy7EtEML8PrL0WWlbznhFT19rA1vde9
bFCF7nSdG9sm7qVchPBxjeYa8+jFUueyQjntTfu56GiRMZxEaQ6VL0u8Gic85DoN0cWDP8+tD+8k
8rk8+4USbntVjGsYTO8MYgjU+10Y7piEbwedFk9+Esdiu8Fx2zNTYu0I2XdE7S7VN0LFcBm3UD2Z
LN/n+ZwH8WnOCQTJqcmk4t4JWfstrZMo8YY7Sbpm3dFpi3zXsw2O0PVfbuLWXK/KyzB8HKGUu4Ol
9GZmAYozTpCDNOn+Jdw/KUuEl23P6b20Z/SHFsZKmXOezvuMqXIoeGn6dBAPdeXvId9DDhz4h3Ae
GhbAVpNvXAyhrfhc+zrUFFk709flCJd8zpI+5mplKiky0dnvj0e2Xurqf8ty2ee59lC2D0cxCsuj
EHWBr+R711HQdBhLMjKtAwD3uvv1IGJGwRPEVY61JK/HrGa+BJTeRTpunlzuAsRY3ErGk263B8PK
4gqKt7qXWCz7AjNW7E9eo2/qXsoQHyAtACZEXxlHbNDN3MNU91z28HM81qJ2fAFwS/mdXtrGPBTa
i0MFmxECAGH/TyVz8XP1IK+CDzz6udgHFw/rj8kYWTX28DPHDfWm959Ur4s75WRWPPycakzy+8f/
Z5JfPwdS4BZ3vttW3ICsRTq9FJlpM3uR1Wpl0J270Z0rSvC0Zc4DBXiC+ku/PqhmmwaWGpX3aJOr
WoZrrCPUQtNq3oXV2DBLMIElH4FWkNwVMAd+96hw1j3pxSLn8svST5zuJXydwaZlBxHXXseUuhk1
2qFtajPLy3UM9urceX20r8vDxAXW7JPxMv7ipP1yHzxu2JR1mki7XwaSzPDLtekcP33cROaNwzUj
Vfv0vi6kbVzhZ08Mcv8Wmdmev0POqlhd/ZDut/46oYjCN35oStV4/kk4GmruanMRjbcXyQ4iOac5
G+mmcBvmyY589DPPN5t8t3uRJqlZPr0mY2XwdiLZfdeDZe9f6E77izch1WFGkGLwkQrrBy/1aJJ0
fhzLpEyyc50EfG/aKZmoy6LH3TzcqNe1kuV9OPgXP6c8zCfL7SyZKvgSToCGi+dthlH0YsLdapxH
Mrc8QF/diaHODk6fxFxc5ylCS5TjLdgm3tEdueExpeOV3yT7dkaStQM9xTpi4j4XJIvLeq3Cvlya
y8FrHNQJJRrZaoriHtXslQzlyOfToet5IWnU5X3Vjfx/xStjnrUzS6CiDiy/vJ+KIQYUmG3O1WWa
NNOTQQxPFRBDVLIyZprKABIvqsNoEgU2LcfgVFYcsdVpEXWMNkuHHFXLZ8csOfEmKZumKC5/wsn5
UKY2P49pSb37dfV6T6nLNk+Zjgv1Y890TVAyYX08F/H2pNKgmYfHTs3pbC4x2O1DX8KkZ4pUi9Gd
ERXJ3OuT2ZBX40Sw3j59cmn3VbP7bnh5xU+Dvpj5a3xf+3iHLHN5sSxwPo8PXPNTVm7gyqHnFnUY
AVmsprpTrbR8wqxyr2EnPfasq1eQZZO6tDH0fmdj9yqJO4Ql0fYKvcWU5aCGOGEKIMpYFpS+VUXt
VCNZAZjQN1VBG5GZHgJzBgiPJ3kgVCqzO/7u+5VIAxOozD55Y6Z2qMAdgwIsPi/rhD+ndxCj/DyT
nsXieo57a7N7jNk7SNmMHHd3foGdavjgAWOtSFniXKxI0OZWl/0R6EIabNGAQObZS5SkJOcwDHn4
m/A2RmUw2TGhlY73ObeulSy+15nMhwYkWmVOpqbreYO99z8U2ziLB0syDaqwtV1onom3rC8xtxsz
kHvOPoa4rQXBn/JyR6mw6+wAMvxOM7fPyEfTTr54C21t7o3p2jU+e27TD+I/cyZznOKcaKrUUV+C
f4tDUErfPoFIzsXwyUm6PEkOsV5Vunyc8Tyq7htuZXQAn/s4AJq4sMU4VeFBuFtfPG3e6HqY1Tkd
8IIMCLHIKX1fh6McWeVVHroHeo+swkeDOsNMLcefI3l9lh3iEqZHa1peMKwf4aYspz3+hagJeCH7
3zdv1lf7J/BcMWdx7u6/09IRfGJN1v2DsQKdqE5U7ju3kZVxy1ZOyBbj+21YZXvK2aj7rgyr/Z2f
S5ackkiE3G9/6xWC38OpQA+wrIgJI+laJ3g/pn4yN9GMdokHvW5x6F7NqPX4o0RsOxzYwxPx4pGW
DVfd5rC+PQRz5T245X7nRQbT+PzzQtqGHGkdS0U8vFZsNU09/CLK63b0PqDF2sdXvAKNXSB3MFqU
3Q5C9tZYzztWSdU1yD06M4qHMdMtn8c/lLOUMjfZ0zhodq7hT+V+W+OPDSeagnMkijXqGVIZd6cZ
kfkv+5r0Y7RJWYSjvK6qU5qX7EbkcjsnAQ68B70iMHuK5fVS5Depq0o/+APw9aagB8shPrCCXYIb
ZoW3sDIyKpJT+jk8pE1juGs/SRZ2Awb+8r4T3r6DygngJY0mJEzc+x+qu19ru/3yZudqHLp97WaJ
N4WtHZdGzL0PVPUaGnMwYO6COoCd9PtLvQHQ2U3oZxyuBWTF/81e1v+N4J2DokOGLOv/WSNOQXeh
A7pSHDV+CGdFRMbcyMuY5TxhtLcej+xncPz9vfwKIWiHhk38qxk8dDjr3P31XuJJucC3efIQ7vrm
54y2VoTovkdafdoaUuc/zfM/L0hXSYCDXeYOuPjW2VOkFo9jhemsW2oOiqTgxL/y14Kl9nNn/36A
8q1A2tmxWweRqBu4EjrqDZBJRxwvqYfSfPwZMWj1tYP2q1Gr1ufF64PpnLfxZpFeqjU/VmO9x3Nl
CQ2i3zzOoz/c0a8rnTmnlMJrATUaaoyxb2mxNXQE5jHVfcRPu2+qmbyOPb6MBf1VzhmqKh5B6iEY
dY+h4nAgtRA0CRMkP6obt8PUUdmfdaX2liYLoWU9EOo7Ps7+iOV9tirqycP8yme1r2H294N4+xh/
uCsUzfFo5SIR2r+ZVc7dbnAXMd2nfbFHpu1HItT2uh4/rCIYvdv//nqaRn3O/o+hWd+v69RfyEbo
xTDe/zz2lgTvYeQ0RNYmsn2W/FfQGvZoGeCUYXwBvYy8f4QDNSPCRHWZc9zsWTBJ8v40/KJkX9R9
tx8Yvx/gHl/+F6oFn0UpxULdRSkwxfz86wDndVsyS2+vS78WttAHv6p89WwsG+ZPW/Cfl/Lo7Qft
FXi7PeZtqKtit1pHlGaXr6nIhKSYWLO4XcXL70f1U4rxt4GBFXIpvHA0SSSE4EP6dWCOAy+Dk76/
sJvrpP3J1cuuRhgdzx2b//RbDYeOJBgfeh9GVbxRLUYDGi1Z3XBaI8FJDk3Rgvzcuh7Yg/O+inHH
NJd0n4ITvqfBVSGX9RC7UE6f+66rKIPolODV3akqR+TcB6dxTF8dA6uB2m7VIhtl3oevfF5hKEbU
O2RcslvuiiRFQH0kyTGZBBPJkWpcUmj4GXpTkbc8ip8JCl7ufdkXr2kFGXrAYWF+hLHXUqOYHUL3
nFYuoZvScE8D5on2TOKyobNkeV+7Ix8gxTKjf696WvCQPr7mNi3kKLudtkESSW3RD5XcIuwr6PeO
psU/Okb/A3l0HJtp9DOR+bFUYdZm5nfrgv0Q97sJZInaojDuqQ0aLolWfM8UaDMQZ8kB129PPQWe
X+bloyLtDdW9WYfQa6/o1CN2MKCfLDjr+lqHhfPaq+6YFmMF7AoC48MyRHk6BE18EGODZb+KOoV6
yH0fdmHrz6ekM57uPuk1nLbmE3zDzmiRA6IAvUeJCYnwKWtBm5MjIiTkBOfUdlLmNMYh6fzPSunZ
B9faLLP7TEuxdQjoDzbH7Yc6DPPCpedUL1DUtwSOZTjQwBMu/VQ3K88WIZ672TVyBMjEdCA1kzo4
rN4az7dF2A/9FkFHzxnVdBhYeNEsdfoLzymH+cU4VbGmx9gj4cbqjzvG/lWDvIgRTbLZKbefsaiD
D0/MbVARt/NznWJ4H8mif+RZAN97nrjWw37ovC6N8kc2WPtlQclmQxQxqDKtY7Ax2z5pfG4DCTd6
5IIuBJ8I4k3w0NahKM9VptFqp0kyP+g10/lxzeYYCfykLjNHbej+l+kSJKP56FvjotfV6b2fYaEG
M57sp5hFfekluqGdguemL7lty79o/dgcUfbG1KKlGi4odoGU3FrfYGh6bgq2I4Zfc0sX0JbGg2nK
03WEPef+4p3yJhvfbXk5OCey8uFEgwRVsmJN9TVtxwdXeu2N9URyU039cNI9EDTaF5rJNWN4TMM5
+OC3aQev32bf6MIWH8u0TfDK1vVRx2F3HWxudV7jGha4bunGQB661gePRiTnma+8CqjHXuzSjBfo
HuJvXViUF8Ui6bK1hrk+p7nTPLQe2DxtMpyuj4Rqksd52YIvpahxcKix+jQHbnZysH1c4ydMs6gR
QtGrStOwD6Hu9z734w+Ahxl6pUGF3yRUD/WMbOXHyc3T7NyutTjJvho+9pMH4EAoOPbrMl6r3q40
TavmgO6eYZwGf2WTG65XKBDGr73r5fLUjO1AmZNV6RpNSgffg0HjmxFYga+rEDnC0ZND/mGZVEGd
VDU3uh9kRwvOtPni5D2eKNyPN72R+wqN9c6hJtNMI4BxuXP8YroC/RbXtCxL3WNA9Psm51nRAWML
ZErZ3IrPeLnn750Qy8HN5Pal7/PGRVHQIh/ctp6Vm5ZtiWG+sSOtSmZ8JmZMuiRyZJvdrxKXyEpJ
hT9HleraQ+/eXuOFsme3Hd0bXeJ4Aul90vP61Rnj+N6j9ROGjnE4Ai06dCJZcM8c9dqok0eP0fs2
9ezntV3IyRzo7QTHRYEGojj4WaLpljgq7wvMdBMpt6wvGoCCyHWq4QNNY4oPfboOmE2HIXmkt2f3
l13aCsvbMi6HWNo2j3LuD8Y1AHNj4y275HoJ5veh26d0u9um/EtetVsEyVM91U3WRW07yQ+Y34Kr
1rXBYbROfO1ltfelD8xym4P3T9AOyO0BfQYs3wKpfDImtyYQTRaVsgi/WEFScwzIz/JI53333sym
OBPojaHPxuZfDrJJ36PTQdsxp/bRxQNyMY2LvMjbyXyxKn6cqZMft67aggsapqxR3lXJ95UJuUgH
fxxPpIHrw2BDjdTfo12HLJIhclL6DZiwaC868lAZJX4fPob1EL7Q8Uh9ym3cvCBd377T3S0+Tn7j
IorOFTYD4x67Bc8X+aWIND1Nb4Xti+eN5mwXqpQxyizg5Pt0dTzOsoWI5ORZAB6kC3PpQ8wc2r7O
Lwo92ke0XYr7n9xr6dRYZOjL8Rlcrnsf1qm9lGsZPlSV3W6SPu9Oi0/IpQzGzVh7znBtR29+XyM/
/2SDwPuqiong4HYr/ZHWis0DpvVOqmG8WaxPmzxU+Q24TVBfxKbyjpTHKCyBPcKrTdj4ls5O9sNG
a4nHAOjkc7cFwycO/GT33ft3SN4HNEwmO5dhrG9huOnVOlRheaSFTa1Y77Y+b4lo3hdA8O+TBa/z
AWWIc7bz3qNsGD38G3rbbm3ojTcIlQrQgar5lKgtpEFRgqtN+UVwKeH8DlO7ee+CKVEg81Z8EzFy
d+d21d6WhYe1Wsh1j/RSwaN1W2g1+cPJaWxRDlEZtvEthtrkPShLeS+8tX4qB/uFv0kAejP51Fdk
MPno5/dLmCO/1K3MrsOmdZ9HEY80oEln5w6pz/iYudPUXdAfTnmHMJX+jRc3NjiHTlXjEk6D9giP
623RBN+N1wgjaJRvQzhFlYrr+0bA99+sovOZa+PMg6UxywTRIxcrMad4XfVOLZ744Ndh1tLgEY/s
KQ1b+zFPMnohQvmu6Q0tMpvsKGytESHGdCi+8Ke+3z6uQU0/hYs99XCOYbc0JQ7VqW3osXhdUJNb
Gp76ZC4HTVPG6Q60JO8Pioa7n2Z/o+sJjUTNLXK9WB5nSYp4M1CID086o/qzxBHbDntzLyepkRVd
ToPxr2kN49T5p02tsUvrKwyd4XjtEuycq8CDEbjodkveMZ16PT6EIiloZekmZWgji/usLA7CC5eH
DM+EidzUKz80qxTbxUyhme8mFte5nUMa+BxcC45/55eE0yMCue3YgGxd5+6QHYz0i+tBrEufvytX
YcJNMf21s1RHcJqq2FVaraurd8Pg5cGAuSA3Jd6msW/YDwH05mGUdIQ5eXIs09sihZ2NqhqY97AN
S4flp1ohfvwxLy7rzNPNKYEovCsyYNJjvmTL5d5TLzjSTSD1gcRyK6+KxLbQkbQnWSN3hv2machw
L3S4+Icqj+l95XsFDdlWMLsn2Qr7bQpJTXASr+4FLVkk3lWcNaN7IIVLBf0c+12KNuM5Mx9X4TU+
idkY4Hg8EEkHPtA4IluyrwShLqC1Ct1o6NjWySU8FRV2bCx97tJofSfFZMZHyNwqvsy7wPuSTNPz
tqXJY5K2z0nY6hy741w9zGg7TnEQ2wuHw8MhSBgL/eVvN+XqlvdWZSM9TC19K7t2ayMfmWYbVZWu
HmxdmqO1Zo3GIPOIr9NQfR2SeDv7zW5rSZb4DoYxcA5y6efuuHHYeO/DPlUPPgIie8wmsB7WAwsm
Qg83f5NNW3xou7oPTr3vJ7d9UzcPY9cPyWmkKWp8BWqc+JGoFhqONnl3xLVSnmnrqKlCHUmrkLS5
KWIt7txi8W7cFtKySXrI65Cy6Oi68fSlHv3xYltcui/RCAyPoBNOXX9qpWnu0Q/Ow1Vr6fsa0kRx
OXRFkh88009tFNJOEg0pgsjxCqNNspxWQO6HLbbZtxjeu7vI4ddoNmAdLFprYe855Tn8M1OUxywn
v+AW6PAcFtl5pAXNYazb9CnPEvkM8oaxrJDhReOE1dlv/fy9yB17mOjD/JeD9RyDJYAqhdvZd+P8
czO7NMHRqmk+KyemKZSr4iWK7ZIHhwxw9DpuXQadOCDcGc3wKXbVu5yy5HqaZfa1SJX/XMSJ/KuQ
ar6dYG6Puu2aKwVk/AT4TlMqYtrSRip3ujsTx4q8leC4L0Lvq1fsxfBaV/upvbj9SzMFIjvRAAki
FDC5MVe1rrPmQOe7ZYBr2vbWLf6cS5q+E0ci+mTm+q5se/cFQ/hAB6eSe4hymqQFh4LvPQB/sSbS
tdVXlRld/zikCDktuRZOq6pthn+3VG3poWiVcp45eGcbhSKYp0sxFOY4tLm4zDrtPu66Abr0TcUY
Zato32m95C/jFLQcD1Se52aMUUM1sVa3UHf2pl0RldDDkZTmdunH9qVw8XMeemBGzNtTuXwdhpW9
wqakThtbUMxvE6zVFMHITXTYnNQ1IHWCZCpbaMO8y0a/e0hI43Plp8ONt1K/RYJ0ZDiWcSf0SXR0
qjw426Sfhr4sP/stvZeLXvXH0hGdcz/OvnyAXQtCVEHkcJEZ5rS8mEmqrol+9Uy/vDTNSeVCUk9U
HKK5V+ksxWGMdyXeWjma9pfthMMARcr/Ye9MmiNHziT6V8Z0HrQFgMB20AVA7sktuRTJC4ysqsa+
I7D9+nnZ1ZK6NKNp010H6VJNMhcgEOGf+3MuokAmsJxkPoIgthmllPANcjZppL04xoLbX+Cpsqc2
q2h9rXpV5XdGrU99yKkiylnSII2uTdDpKi6WHenQrJJ3tjJhb+R6m5ofBbZRrQpGzZ2zaMvALJ/F
TZ7Udu0FnLZnCa2NkHWvAocHrrWECfMrFwIjbm65QLRaojI/LS5BSjC/igNYcw8j37RNHyK88tS2
U8CDXmEXyzoOJ24VxiikceDB+yNUKXvYxuzVqoNKFCHIvu3n0dok+J/KamO1zNoeCagxe9k1GKWG
CrCk1ER2n6km53uQGnYpleFkZgZAxLTj7X8HRu0IPsc+q5bQa5LZerWYMiWPP8RarbkOHKBHXKVR
Q4/m5gQw4Tq6xy9wnYNwH67Ot1hGYrZ3+KpX7rcWfHL6ppop0RJCuAhdGifbKJtsHhEsx8OLAp7V
uueBDeV8KzJPLDJQcQ9uabcy3eLb4pGX1dmn6apqLEOrGNRSnUzF2yOTV+Oy6ANML2RPHwliNqm9
sTGqkrkWSrVLjQ8JogK/0wR+vG0aF4oxNr06zHEh3RiYudi6Nx4r5uKlbKJcuUsHp1yWBhV2RElN
AyxVqpjkJq5mmRabZsJxQx6wg1t/Xtn6uZtIK+yIKdgYeY3yddl6cuMsUAZ3zP3Kl8ZVxbOGu2bw
jZrwmS8V984Gt0n5TVQ5uyzc70mXb2obPEsIDLZySOkbLcPH1VbLby57Iv7xeG/hjt2jA6fnWsA7
A3CmbjJ9WYgwmiVmrdFjENxoREa9eXIOLVs4xzfh80t/rqa82nWDwMU4u81UEc4Z82/NKiL4hJ0k
UGnzHFXhYK7LhcT9NLNB0IoNO1BOiFHWWNaus+VQhlHpzp/QKMDS+3o8tfrFhWhshfSaVV87wQAb
ovLI0aBatZHTSJfpyYbtRNfvFYHh8VtMBQKKCztqowrWPIm35LTGSNsS73Yx5xgtmfOIOGu9gU3W
7/W+dt6KsZB6D2fBiGso7EYKExAeXn9burYA0yMsNbxifcA24XcNLrsAT0c7skHSDXxFiFu3MSdv
kJMt+/CbmYHbfAWSOxuC88VRi/saK7uyCFfgrWtKrBvGovrQrSyPkZQ2JDtyC3wxzhxDzMVbt2+b
os0ChWD2uWJY4NqIvAelEVRWydpAVG/m+4UvG+R35HqbDG/Fd6D/bAryrInPGstw/87hckoenKzs
rrsu00j37GDsYwdtN/1kiTSXnTnK7FJPZnSDTTL+Fnc6n7w7rTN2tUihjKxrOvsNwPBnd7bU/dQV
CW+BGBvTYaesWU2vCIk5t7yLjnzoUGRRTwcd0SINJ7wxXyZTkiO08l7uK5ll2BM767GN4no7GJV4
tbte9z0HH2LSFSsO/X5dfCJHyy2ZSiMNDdWPhLqKCoM8JHdvPMTgZ1jmqxU7aBxNMy/XK67WCE7D
QVM5i7FlQsScVZgEC8N4NEeWXo28Q+oPjYO90Ix7UGoxcekbUzXqHAN+gfVmxY2zxQjRPE2zM+A6
HoDT+bgBnHfZJXAoSjbgYFOuO96eJrTKZ08NMMnOIw87St6mScgDPcN5hVxyv5YoAP5qN429yUcM
dqEpynSztjM/A/WyP2AbKZtwNJtfpz6BrB31czAN1vLmsFqMFAdUXRMCvHAvvdUNij9nWS0HghQV
qDTqG7OIjJObFLmDTSgCsQKS2DtpWmJ8gp/Ij7PW9Pd49bIAD5jxQSpGVcwZHG8JUqvPusCZZLqE
aloyOKudO0QblaRuwfrbmcUp043F2g72ZL1ooFDmW5Sr3EQMqMvFL8AEvAFwiBewD3p3W+MwERuH
EDWHAs8g1dBGwrpiCrLkKaeyAfpvzvN5ZH8eJmbXutfPzb6bzAkZ2jTq6NYtSvO1xWVBpYsq3sy+
rF+7AdRQklZojzgqMUqR5Zde0b3F2iRi9lazFmjsPG5AU4PzRnd5r2KlHbqMmzrs0ty5G9RQHwer
JevROfkZXcDZa5FwX1CMU4fLILY/QSmamxmM+WXsFuAyfT0YQTa64MCXSpRYZyokHqfv3X1vAlkO
Vw/8hV+m3ryrLGMsLqRloSwjboUdlzpVDaZFXYTp6Sd4FgnewEl/TaJlfvWigeqfXgmik1a+Kd0i
+hVbsQilJYdnl+3+TpeR/gm1IH8V/AikDQp5MFppr2Ru3JuZIf+uGQfuOld9YFAe7hslFpgWQy10
7oP13ovJ1XM1yHLH8wAmg3J7M3QdzCn89Hlqje5LhtgRujMHlZYaqdWfE71+0dxCPmYJhSvAj/gY
mwYIde3jtMxNk8IL1P9ukzfoQd0nD6i8HENm4KSYXjnRQoK8dLKvpXU3ZEnLKk+1zNWb1LXknzEJ
zKCuW2YNDBzrO7lgpVl2k0FWwwjNWsxDchDqylw+YORehuconSfrq1XJOt9nNSU5MohkJwYtdEcL
lg+LV46bhZkW/ojM01NbhBjv9JVtowuaNOhyuxPzQS0zKiZVR7O1lYBh3Xe7oshmAB+QFzM0f3ic
wgrZ5+FTCLXFjmMMLRKPFXZktvG4qhay0Nw02NglvJkxaervotUgQ4cMpTHqUdQzLXnCxDKNc9xC
TRxdTeRcg+ALdjGUFtE+jLCpOcLQu2B33UsNZGTMQgaxLuc+IkPpnN1mWd2rOuwneHj6RjSm6ttP
la+jvvj8liZdmOtKtmTAchNWhn1ETDID96It13ci7Vh4xS4BwOS0X5QWr4blp5Gb82944R17PmlD
z4H5BO45KuxgFoCpx+2fjOd+Dogw/CNA7ZGVZciJTQ/jw8/DuUpw5sjmxvsqMlIkv0+9DTu3GD91
Zhnj9pzcEeKUKKn6gW3UFQSR/II5Sh8MJlCW5+y3Qdf//7p+ni7zsmDG2cRVPeavuMCvGfw/OiRS
ayGaBMzmW14310FL+cP4UeZewYWo1YzL/mRQ+fNM/voXiXHzaVyzw4x8r6iAP/5FREN3EOQlvpc/
/uL4w1VDY0vHaL53EqkwwY1ipnIlSTOGlT++iv/QHP7PJtl/UBl06ejkLP41z+Hw7SOp/8h/+P0n
/g7F1CnwI5RCBgjvLnVy/4Bi6s4vhmnqFtgwxBwusr8hMelq5HoXzBevniOIC39HYkr9F8/D3CAM
6A8YssS/Vd8HSpPr5g/Tb3wngnvLJtRLokz/XxHoXI/wiTqRfWslUsPfWM3tiY0PdR2wJBfLuUYK
y9ysjtzfdvEIs8DyPsFMfE/q1XqUmOatgHn1E+y/+UvuaOnJMp2ZXRZW0wiEou3S24GnGo4DW/bh
ohVk7lCbp6l9FiBcNR8XQ2GWp9xL+904FllGtCZhMzu1hbtN2c0cyIGbgQN+OygXPQ6rspAhng/G
ZyndfZvMUw954w0dMb0pOhdm05x7BXprscf2yEhz+oae8C7Lwf0m2Vq8FVPt7ESTNu9dmYtAWqV9
QPf/MDkD8H7dZMl8x+iS07pQASiYn7CoutptlWnRzAh43CZ4lroo6Dxa5tj7NEovx63Vc+7zjXTK
7rQkMb6AwzxLZTahThcGTTmJuCw9249BtRVPF/GlIGHwPDMwvpupwtg1hkfhAYLiKLALmGP5IDOt
3XNjG7cdQ4iD4vkYMMpIz+XIzhh9OL1h6voBnNdSfNbNxmrs/NSyDO2KWhs/+9yJDjjGzW1e6cX3
EuzZZs1c/TteUGh1DK/rvWek35UyOip60vnV0l0OXXGasemClxa0ZeG+G4bKN5ZDXmh26y9lWn7B
7pPeEIaF2pdM41vEdnLDwZ+TUJ7ism+cEsAYg5lr3cHIbMdMvfLRWWdp+5FImsP1inxux97ewhBJ
eZ6rAmOJodrUTxxn4NUzdCMWNzLuGU17gcw9T4ptnh5fZK7n9zzx17toonQjWWV7TkwD9lkqZou/
YgLbZwHfEVNisg5rMH2cqKc7wxZZzgSjzBuD4BtVVtHEIYRRYNX3SEquLOA1C5Ocd641v3pMGqlH
mqS+IzoxnanUghdvVf15iNy19md7isnoFFpQNI1F8nJA21lU45z0xktq4neOgIMFtdruPDDjHWVV
8IxtzPlUPqkXc17UhA+BMwaEjnbhAepwRsHggdJLS0OOEyPz69LwTmNZzhkHDppEsFbV3dabQAC1
vCintZsjx5z+Oe6Y//sj4NJfa7VSP+QWHgURuX3uLAgbK0Ys2qYyAI2Q4X2z02Btoo1RAQnOaetk
wvtC4STJq845NVGV3jPaSbZFbInP0daLLcNX+ysi73okrDCC5x4Tezd1msXecJheGUGa91oeOSFN
pdilAdjGQZVPy4kSMDkErhvVR5fIdhOi4CabRRnrvWPBglqvx2jbnvHDz6Zx6I28u9BvZe1cuj1e
LFK7D2laMX7OolxD9orTk9aYC2Nrz6XExOMtgdx0cdADDQ1KZ2r9tRuXDXpjtiMAvmzSyV2fUaRm
kLqtvk0s4TLaxwrcDTK6ISjV3eNEDrFJd08pbLMLU/d9V5nr3aQEcuvM6EVxW6ONGvMhjcpp7xIi
u89Kg7n6pPecGxt3AdVRNDdlPxpPhgFVKxV6C7wmh+o7ddOB+UESHSqEh8c5a0kF1syD5kbclI62
EVU9PcRshc9L1mQBi6e47VG+6B2pkAjK1GRRaL0wNidBgZXOmNyybxvZVgcOnMYBGc/2CRuWwVyB
grh+ycg6wCBJLT9pDi5rnznn8Lh6yfK9FA0Ye81Z9myi5QNEnCsbSkc3J82ZcMCz8h0B+SZMIxZy
YawD4Vk1P1eFkFvaKuMAT5J9I+ZKgw/DQuQRngij3HPf2Hsne3CB8BWAMm46OSxaCKbdfuMhSHOA
52nf9ayFWjElZrDYUv1K+qoGEpfWl7619aBB+yAWKz5gLLB31gv66oCM7dyx17qAwWzyRj0lyfuy
uPR1TWuiZ1eB2XXNySji4R52SL2dKAS6F3rq3fVIVq0/KGrXJKf9XSlr4KzoIiFjhjFU7Ju+gycd
N7jJvzKRGoOcNZPgTz4lJK8s7ZxosqWjyZq+NLOXBlJv1ouNToAEVdtv5GW4N0y7Cdl8U52S5vNN
hd7JghVPPj138j0vxsp3nTa91aOqQp6p9Y8Jj0ZIzeBzhGIbGNNi7C1kYJrYNMYoaarPYSNW98B4
98JW9sDuAc9tRxp/Q7KHL5hiUS900vFhavL4izZbZZCpssc1WiWkB/ql8rU2nl5EbLdHwuDOMXYT
cp9XgWHPuqkF/SDOPeSIy7qqexXjHmkLUZzAM6A6c+09EVsqjxEuAW6JdFd5Ou00a5wcPFe75IvH
pTZh/PFNM4oDSWZmn862ok8C5mSPbSUQbnTO8ibfoRiqQyQyFzakQMppSnnghqJirKw50QyIvJRe
MF13o/IcWx3L9xRNH0kqmh3FZ/ZpHXvnK2nq4pP0onZr9d0DWqr1uLryGS22v83pNjxjHHEOHeXA
O5fp0qa1nPEZtJzCmFV+YFAYDknmxNs2T2vsCwuRi7VwbDKmcY8rnWpGmcbyApK5vl9bAP4uT64R
DOqDjgL2pk3VdPZ4Kie+qUfjF526tH2xjta5bNLsiNC3rc2sDUgm3+W2fJm1SfrCLYsNKa8Is/hY
PIGYaHaKlNpd4w5EM/vG3Io2+u7m5KBJICU7t/caHz5nse/rYj0nUk6nBjj26+hRPudAqsLjUrQh
ru31V6stnpKyYl6bZ85jHvESBj0fAl4fYdbMvBlZVTdkAt+jnk6UspbJHX2B52KiV2fGHkIPqHwu
2rw6tpkpN1Lrxh2IbW+bznn0TgZh3klMn++Efmw/9kAO1KMxHhgiqW1h9++TzrrCNF7fxtMVgxeX
m0IlH5pimtAtjKccN1uPnrf4Th4XiFAnp7YleG36LW9lQXNh4oo6SIRTPGeaXT2yqcpPVevyqLf0
yPHpnnGzu7oe9B0B3ua2iOW2tM1m586iu0EOJCAwW9qOQUq5FYkRnx0SyJvOyNQ+jrIUJPmU2fet
1cwHBt76FpkD4F2G43GS03uvs9bWTmc1uwnp6K5hChvkFvWaNUrH1nKn+UO5kUu9UwuDibGLbZF7
iBHtbNh5oVWv89eKGfa7Tc2LYJv7UcYebXVG/GupynabYVQAAI1h9rD0wmUanWt76khgoELDLjNk
+Ly6aXDTBWYu7c00lqBRNBl/i4aOVCfJch5pdjf4gIzmS55nd+x7g4Fmuu1k2BQ0RQ1PUEwEx5V1
gMkgu83EdQUlS5r4FfqTRaYW0AXp4TpkIhOTvCs76vgUjOEif7CcFRmuRzE+RREj2rYysoPgq36H
ohvv6UWLNk6lEEzjpc+PXa/6IE60PmypTZTMEyPntU1E52115aAPrAK/HA8kf1ri7FafBv3rjB/0
bp1nFoSRyk4zyo1tVK2UNj26c6SyKIxG3GJfU1WOpJXKilDnkzMzJ2KCahHrPDEJ8OqnaRn51IDI
E/ZdfK9ip+zTlqSv1DYTEhqDarrSMj10uhDkdhVqxAYGymCW+XtjN8m3yeMVskewXvkZam9j6L6L
MTb0r0Vz56PbUhBJmPnIZLK9aRv+6xrcEeJhCtBj6bb8Re0m97w2VDHOAfo9mtqPm7n61kVCv6nT
2T3Yhs58fsIVfOso+2lN4Mi3nWV/k0xaI2T5tTlFljdtLEKOl65sTT+zy+6o0Sf7IGikCunMXGju
Tia1lwWdrKwGRKfb2ghryRbGmPrSj+M032MxYYKDLfckql4eO9GxBbDgorrg8ULLXkpkRshuJwFk
6XlOR/mlZ8Q3+33a4JTpdQ3rGRWHAePL7DKRfmFsPSxvJL/v4ow2QGKg+EXmyYvDEUtMRMZuxZnD
9JKK7B51kkEy0SLMLsqP4sa9c3kKZ9fZnzpkvc4euW+q8jiXWfYUuwWFCtdSos7rx9ulWuPH0lr7
rXv9sJmDZDvNGzh9WbRk3mrRiCRKu9q4sVUDqBJb2mMUlWKAGsx/qlbPQlntqssQY2/BetG+dEmn
v+oNnSZVHb9ExBXPEh4G4O9K0MlnNEy94Dgx9RzFySFm9ThSR3Dt00Pov1FzIh+qpP1w1o42o2bF
v+9riQD3PAke++kay2suFpk5L5biSyaa7Bl9PtrBeQP/vTC/2XEUGp7zTk3fRg1zVkNZ06kv44Yk
Xlxtsy7jJpypnvM7G2ne5+jBXgcAgxFGiTV9Yv0S7Pg1msq6el7uW0pmEvDERXrpYo+dWLsyth4z
Su16V9M39K17h4kaq0OyrtnZSsb0UJqecwufiwPsbHMxCe2zcOv1Ga7ZVbfUbd6cubBoCCtfvlAh
BSJUHyELrJmz3mlLvYaFaqIdlJziArWdFryV66pb5eDrdAYfI3JYtKcaWpCmXr2vsgiSA8cy6AbV
dSOrW92ZvFwBZB0hlBUs3nhYXGCz9ymS7Ws9TG55p+dZb24K0KPmTavzFPDHGjBpADOxx7mBJLJ+
05DLp3vd07K9ndQlv5BA/5eByr35aZ2I7EtfY5hqD/dK9FD+Nko5hoNHxOzm6cRHgidvW8cttXdm
r9cq9/+bIq4+kUwKbwHL7yLNaZ9gN80vf5B/7n+IJ/9VqfIeMXvo//qXf24yEu616IT6E4ddGerO
P/O6mnaessLUp1tIEVZIXj0hqIcld6bsGah5FL8bpbkbM+No5taW6NjWSvSN6+DUUeuGgcGGt7oD
ThcyCNr9/y/uZ+WSo81vJSyG0CWsEHCP/6QjljoYKhEZ023TdLdOw14x2qfjnwTI/q8/Am7o2tsi
PeH88wdgZQO6NF6729Qg7Mj/bLzhlVP/R5L8oTv+mSSJ8ky+6F9Lkid+jfqaLz+pkj9+6HdV0kVG
pOyMUwLEGGJuf9ckXe8Xy+G7ow+FrhBLv353v6uSpvfLteBAR5pE/CarRm6QB9mQ/PUvpv0LPS+e
iU+XLBI3uf3vEGb1/xUA4vq0DfqDzCu91DD+KUyFxyTp3DWKjyOE2SRAQnUeJj1et6D9IOrjFz6O
4jNj+n9oWvbIPjMd7zLW47CH4zjuTB4IO8E2SfwJYscyfs5GWowieHPX28iwDamTHfpZh597a7Fy
w7UPDkUe9Z3n5eLOxQDBa+DoRsesqh9TXWrwM4HbDLHp+VozsoubPRV9c6tKf+iJeLTM4RendL6s
jRbfkomeBhxBvf5W4sWyuw0grnW7jrbmhoWVcaYoec72Ghv/QXP319x8KEVeDUkIfkfmM5sDJ++e
k2WM9zVZ/mwKPKtoL/RKF5R5E5EtfY3E+9HtqFgEwpht5s57al3Oe4rzlmverzpeRXy4TLG6FrSA
V3CgRrvI2s8S/9KFnEjN013yjKd6GxSoD7d+1rdjZCTFkdNwkW+RkDAdZhhZHqq2D/MpnmDZRy9z
FGu0F6zdsY0zfaeU2X8FpNnBsLDm0M76E0+QI2yO/smp0plVf152Di58tqXJyPR51OgVWltYe15m
3wIYWs5VnGzxsIH2TZReX7CSvQmT6bOWogtQ6F0krwYPd4b3CgepFtfaw6pyb8bvtED3Tsf5HDvr
o8BAdddhgEAO8yr2RZOtx1s31ySnTbbouIx6MozIF/hzRGpfYHc1FzCfZlBGbnlv4ShCNjA7HRhI
VfTmcxZ3KKW6lt6ta4s3JDK2FFtMT4sQs18lZnWY7cba8eSpto0zJHmgd7YKSDHbEFkcfT+bUbPh
4Y6Bg2HfZkaBPsh1mAK9je0HPvX2hJR2TbgU4hiDljl6RNyPBKuKOIwqUbw2g94/1U6d/dpOOk2r
udKaR+aH661ZGfPZHAUuKMbn9LoPxNDw6pD+H4eggO+6MaDPo9Mmo9yuLTw5v6Eo6CPnsme43s3B
wJXmwzCeLsJhjecZM56sqVcbOli9naRibsMpvGKrimy1Eni/JEPZbZVYDZgccFjCoisdqjUwUyzB
2kr71eKXXCUjzceCojZskPUPI84STkwU/RhY+W7aMpEMmeduLxtJ+SLloPZbbywr4XoILgdjtLMu
xH+yJFiJnWstJ+Ra9kEWo3af7KCDv9drKa8HhbuEV9TH6tt9pD1Zcy8cX2rFcPDmTj9hy4USNvM5
Hka2g1cQPlblGCvbaU5QXk2JnBTIMaOAcEQjXTB/Xdsb5NeSUyWb8GLq2KE01LND8eHjW9v8xrJw
4Zm1h9rjpte7ixCY9ONCRuNuBEWGzDV4E150kVo7J8e+mQ/dMzjL9dMZ1xloWS8Pnp0hLNuIL2Gj
I5uxEk5vYwIc129cG6m5jNdKD/O0yz264KsJlHbfOe8V8R4V0rOKjFxzghxvzbKh2UFfwQagozqc
RHEBlGfIyAPpmoVkRh3bpHt6FhGkJc7Adxaxd5x9aWzc9YWcHmyKHjClVMk442zoizvJjcEQ3sUH
OdWQB7cdB2zYJ91q30LO7KGpspf1VVRQzzBU7SVV5lBv5sIwbyLCkmetHWqKv8xW3KVuVj8R+dCK
UFeppEqFf7e5RjndUwJyHFcLAQBr3P0V1/WMg6R6ci1ElXhRZVg2EwOLpmbxtfo8/5rF9NxAFUor
pFGzs+/7dCm018YE/hJg4vYuhkmV9cYR6HIc6aAYbKUove/dSqck7obpDfmsCMZFHy/6MLZ70hXh
Stc8hw9VJ3vsl5QpDG0iT4k3ZltnGrtHrMGAzSIsdA86Wf0v9VimFwcHgb7vydHds4FqCNZhJwXH
6CT9e71gM/alTpJs1y1ZsYlslX8krdfq6CHzeDOgSXHkRPzFVWa6OaaqZaBvch60PLTGnj+HBjr+
yvruXTwtmbYtLLt3WyN2FsSeWM+StXmbUXBw6IDKbNrJajesDfMB8FL0Ouajzv9x0bHOc5Pj1MDP
T6wGW+iKZojWgxcus1rnrMeWF/s4pBIgrL2OyEjxSnTANKFOAySD3762veaSoBAdxkpl8iZH3dn0
if01MwU9B65sgrydzZdUH8hyNo5zDz2BLgSz/Eqi0uNCtHLzDuvROYtY+undOccYUr/OfX3wHFX6
6LMg4/QSG4dg+tU0MrtdLIZ7stYafgCH+V3FjS4xArvTLaKjCBhmGSFxNsNX+HP81BXaO3jM9qFD
Fj5Jq5VFACOtegPwOH4dzaKnvNpywq6s5911X/JZaFQccZVaIKQWB9+PzJzR3ZDvSzDLjyiEPE67
k+m22MqgrgPSowXDkRu1aODwp7LzzO3SaddY46rEi50NQ7Vp7Tb/lIMT55vFu/ZlxTI2IsRzPEn+
UAwE1dzEmT7w5RdUatAfj7l4FN0bI9KcMFjH14X2JrPxThMyvywC0NUcWbssA8exMWXnUAyD7/+m
Tyeb0xwbr7sor+SBLVb9jgt12A4YdcMaEhliFzTumpslq95NDE/8znT8ZhBi24BCJiXpJF15AxRe
P/csZ9xFPW6teEUfBLsj4GUXeMC4QBwj/4BU+NbDoglBUWJznTKvOWIw1HB9Tq527VGboyRQRTRV
NAzRRMZcb7ilaWx5kLaePs7FKCgM63U0iY4y4q3q+0vsTTysOYXdMCJKQvIWhnFODVu3QsDMBG8w
pJEktErJCRRhP8QI5HwlDtx+4iRqRs60mnd0ZI/Qb5oWA9Ayq73Noq+D9DusTwc3sx3QfGQxzkMp
Vol3sVBMzbTVwWqZZeMZgxCZv4l1JAs64CsWWKaso1KeVkE8OrKUO8VD/4G7FgqQ4BqINl5d2Mcx
63gSSAZb7Z6hGuCZmTZKFBZHsv+CfeU+zjNVXHXrMNeU2WKf3A7PG8jOq/pZ04hw0yVLPgcs7eVt
VrnzS2d47YUogfPeRm6G6h6jG2J51b5KHXqQC4Cz2rV9hxKnxaUw/URfeWS0TqJ2Kca7e4Oq1PLo
NoxNYuUwAa2ETINCxOKAJZmMblWPmo+2jzlqVm1iDiebGsHa/rHJ/o/T5E+OdaR2OGz961MdzLO6
+/j2k9fkx8/8zWoiqFLFkIZBxLSp57h2LU7f++Gvf9E4rP0CC51LEBKtZyBN/P1Yh6MEqI2Jp4Tk
NNyT62HwH8e6a2eIB3wFyJFzPfH9G/2rvwGK/+g1QW92HQz3gNnpKcHW9fPZSZRJI+AnaieWhjZD
M/Y8d1Gv3ejJqjtmonRItDJGZAfB5p9GAOts0pxEPr+kS8FBBa8X2cTHq1E5N28qDdsYwSdMz7HI
8BoXHRYSlaM+RLvcTS2MEhaTCQy6bPyzSO2hd/G3nvGnT+0a8+gu0f3O+lhiNSWJ6Tqan7ga3Uaj
TWbrCC+CUqncnIp0wYMajeLN4DQDZ9weCI89Zu0Ku3/jyniiJjmZVeLdpemwmfBaM0MsXWgKAc1i
LEOFYrlhDrJo0RUuWrdu88Mg9p+75k/uGhPfElfsv75tnr7PH/0flZDff+L3m8Yzf4GpBK1f92xc
dtgu/3DT2L/gZadFwL3eBL813fxNC7kKHjb/RGmFhEXg4av6/aYxrF9cvFkSipLgiveo7vk3bhpM
YsbPFi0dlUYaFPpe9QZsob9JEn/AMeFS1dD/awHTC7PtqEmee8Xy9TfDLangdpNobMTnss4vzuTe
9H0zvtpj1j42NRgv0fVHtRAlbYkT3vxmxV1gxkUcj+jbhWunfSjn+pyza4HZyOUw5VuWEff3lQNo
7UHKNDcQDyqGLAfy5FTpeZIh9jNpO4PRrZavNd6lfGiaG7fpBCM0MeL6n7mTySJKagryjJPkGnNa
9JsJ5PAzsOSBQQSOlUJngD/bTCKMyBs2TiJkv00KlPvjIOOU6GgGUVRc6S/L4m1SLL360akX40XS
udjm/lrrNUhAGc0uUryzWAeVEjeP2BmnTvYULRpljD6p1REkSG3Rvl5FNL/YGZVdq9HPfbsh9yuY
Lbk9nY2PeJyzhqRbIfsd2CtM8XAr+kDZXnKKMkwl2Oo5Um5HwQYAAlW2uKFbZ/syrpu3uUqHkoCB
Oewz0iObSbjW24LD2GeckuzTPn2MCwZBFH9lYD+rep8Z0wuMCnOXDROHMKol9ogmyeqToE++EDKl
zG1B13fc+QbMFuWNSn3p45K2w+JqyJ8TGhdHhsZjbH9l3ZugHU5vUOv6wGg9Gg5MogH5C43S4MY9
PTuSU/+MUypGGcQpJuiqZyqvlTvFR6rh4PItp6EFz0mcrWtUO8A5l3FNXwjx/loX6XBa+xr4bB7f
rklLvFYNb3XZH9ngVPucfg08CSa7WqgG/dLYp6YBuQ4w8J54ee3nRv7SEJ0NVafVRGXH73Za2Tel
vUb3k1fbDCJn2heVAmhOdT34y3wnR6mjzIx3BqRJSK/Y12NQIIGcxuSMbay7cYfJ2GAlEtAzIRZX
82r5+JVRAXpYyqkyxh2T/PTTTdoZ8MSybJrW0i7xNW9UZfH3yIzqO0sbHq0hneHk0rMpGhwxlKik
+yq3bShnAstUveA5riy1HVxLHlgXkm3HnmsLY1UGVqJ5nOOn77WVl/CoCW9FrB1+HgO5DWAAff4P
e2e2HTdybdsvQg0g0D+eRCJ79lRS5AsGRUro+0Cg+fo7oSq7ZNfx9fG7X1yq8hCbTCSwY+215qpN
qw6UTZFbHBNp4CjVb+saWa6v5BzYHCY3tq7ol9PYN3piejbsCiZjkV+1IjouSwWttG8ooJHai01P
KTvJKTslrQ3tsLHSHwAGu7dhcYPMkJssRxTc9Kplowqmi6gC4cuz40g+8QPplq1pLdoPZB7AAYq+
L1adaPnxtsvUMq/5fu0gcn145Lw7uk+FlTf3OFIx9bUkbW8bTzhoGSmhMhbAfWAQbn8GqSIDqRtL
vE9BdJyqIe5KqvSwO2D9rPJlE40Si01rBnqk1D1nLiNQissi9lVhbJB25k/oEboexq41nwaZVgch
x3n09xTIphSIzc6aBuanpZ+jH+UPo23Z77HHJcU0DUPygz2hz2dt9Fv6bfW2GW8RmfvXHos/O2no
gsuOh71+Tiq/BE7tNUHSamKvg7SgeHo8unNGLBC+33s2jYKYd6yFtqmI+TSMC3rTmmGEl2+PHpVu
hLd8ZUb3r25KoKXItHc+Ui+CROCmovAQVU2SlG+tW0Ah+ZZzS3auNGLKvUfoWjTptSRZAhi9sdMb
0c3KoDd0MbcUeRj3bRl9aUkAA2pHdL80mCVOhk8dr2uqixrS5pE8iPZEOb37Lko73ca534L78TsC
k3HCxxiukAgjVqi7uZh14sNzHZJWJcQkpbylGbQGRplWu1rT5323fmpz2i0eykXRfNpSuK7RVkmF
qLovEovaxLk/jAYWC5DIWCFab/Eoy3WqB/S212qo7QOFLf5HJ/oHsDv0shLvIQToya8OJjOcmboW
ClMdMWF44KsMk8IOo5E/otoC0qNJ7TwPdsI2eDC2FVDKsKkn+uNjCpAjji+EpOZbfHz53aLp6mZO
aZqu5sHdptXEiQwmDGkgMYTSEvE+8cnMQY/yAsyB+GKNbk/Je8c9WN74A3etheLuDdRYrkRY/keZ
k8RwyJKtysrjANIHik9N0tEC9sHv5h/aadpD+/aP5EGjoDYmrC2OX36wSFWhrq2WUUPD89Xn7Zbm
bIzPvif6Zz/N/C0yzbxFVPC3vWyPvoZqQj3jj6l1v5AZwr3hj8NO75s0GGd/wfyx9mNWE+6ooZxO
Wt5+qny5KWQ0UHSBuL4g2WAQdKs7wWRygQxch5U+Z7sxlXgD2UYeNNuFXE6n6YYcShp4MUKRRmP6
him42GDn5n7XOoAI0PArzzUI5co3AYX2TKFeROEHek9kIh42c2ZcuAb6fZ9aSTDm+Y/BKfzd1Cxv
MYkXMn0+97JstqMbepcjwXaaWz9B/28cKMcATFV3j+EjChK0wtvRAmWYFIgDjh6/1ob9o/Hb75ZM
i11hMzCoyXopoWoEZd6318LjSy2dhbY5TPIHrBV8B32Wk25CJXM5t9+D3swefFFjKPbEcoFszMvg
5m9DGdG+rPh0cZdSL95c88CQJsY6vIIqnoZNhs96Mzhp8U1U5LNKMdfHwSphpysXfAyVhLs+W8qL
MMQYQvW2AmXO33oyVBsFcXQz+vwMIyaVUPdb79rjkrzPzZ4WgQpvgoOLeQCkMeYNP76SefbKxz6X
N/QRes+ta/N3TZA43QBNAWdzoBV+/DBQ8n1v41p5dTPnyXYcvKdFfLvicQ/m4MVmMCUZHu8+4oVO
0sT6gj6G8mIjy8IcC60lgqnV9i5BukGNM4g10nUpjmNk0Vp82tVU2duZ93kjGqO+U0gdB32Z3APt
0t7bmGONH/TpA9ikvFt0U8tCxCx1yBpp3uGRV3hqwYNwZ22kgsU6Bz56LFLRiqls9PKxJS/zOJKF
1cmtK40RQ9Atb1t98aPvTI94b5/FvKfwhmpSsZ2zbxrD5iNTORLmbe8v1PkKHvNzbD4RUCKajkkR
j0L2tXd8/VsVt6diTNh9ZXWCNz02P7GhgZ1wUvFhxBmnrcWC7cAKaGAzONbYJdI8yYbtZM/Th154
xbaph/6J/G17BAzi3qhEK/Z+5dwvqPsR6re7Bf5XTwfIKBmXs6Pczyh2aQMXvXvnSzt9scms3SBK
20iCYxHaKRUbDSB2MoKgZsKaTdhjh9yWAhzR+9uJbSEcl6imw1o2Q7zFl0A8WSGY3VVeSum0AS07
cke5M2CEhlBW+73sHG2fsTIogSMV6Qt3s/yFR9zwtRgn/YkjbnTQMzc96vbIxBu1zqnFM5BRWAUd
ABfoWFxjkWbzGc/EGsBIupOvCT4QiY40jpDln0TbqSAB5ZNvJqtqto6KaQTQMVfKZZIvurdQX9FA
c/D62j+jxsk7K4b/VJv0afL5qzNQ1i2dIKWNyYnparn6nYQIwvGhH59jgzssTDALkNriN6azwQI1
qzDN+DycYdAC8vUIjn2h3m5xvsa5li5bPFg8WaFz+nwQO9zHc+dMMakCixWCmSevyqUEm2FleCqW
aja2xEO0m6Ka0teotKtdx0YO/PAyFUfc0/o287KYKLuVa96mL8fyRY+m6IHzfnWYMNWfutJ/Gktm
475qh29VWRFTSVyyAXKJz4TnHYZ51cqNLFX5bCQj5k/dFXssLPmFfF27m0tWsJhMiqDRlgK5t2vs
3WhU40NhgVfZ2ksEe1CleagyY7iU1TJsLFgNh4GA9r1oCDw+sn7p6jsMRxPSJUHe1skDgKaCYaFs
MKqzvhoGIShIZtxMvYGsqtuO1lMtYwdLIgNe7bnE1jM/Kf3NmM0KbAxgo8DpIbgVSwMUyMQIvWkm
r5gYnRzzIBPHflk3UcN2GQkrH6hIbYxvxJSira5lUXxJlUKN4RLuslB48bgFGqgQ7DWX5EAC8++i
pNYcht43HqdWchYwWm2/EEoh2zJrJ8LZzRFGbbYdpJlemsxOYWAO7o+yq62P35ECXdpJTPpl89xj
4U1fDQNSWWn5443k80jf8rLY6L6e9732mvjgDCUjuCHZRLQUNl4Xon0h67DFCmHj57te9Mu7zmB9
HoGWEEEqbmu30fc1X/b0E1XQEPr5mkwWEjNE/NPSUMMqSqvZYsAx4QTQURjG8CyB+UMu0GmU2lNI
YwRdl2FShxi1NfkZv/RMkaGcJj9g3ZaFMc86hvN2DifRyXAo3KPWVGoLqE/hUEv9XQdK8t22JutQ
5l2Dk5Q7U1Hjx3bxs+3T2IRZU9vexUxLZ40iJ+O3wtfUvhAWjKrEB8HQ3a3bGTILsBEaIeYD3viW
UQqYG62Z3rQxfGvERASht/EnO2znnPMNFyU4/CxNwhGTHUI4j3FY//lbz0y/qX23PGhpZMI950lS
jU7lIaPJPtB0bQZjSCE9fUolxjlXu/vJXACTcRgozr6ZcuIJdlyZrMBWAkMxJ8l3Aup0B0U0tmyb
FnBZrfHZ7bnxD5gG5oIVGvY60Fq5VDx0xvkhkbp/qyaWHlmVOocczS8UBZwdnSX+iQjFvcfOa4Oe
P1HI2cTvvVtl+OlWBktjtN5trrW0UZR6HhpFZBHR8M3XGEIkqwVY4UGZJuUr2fXXFrbZJlHe3sKz
AGCpUZ/0NfQHL9WXI7zPgtdvYA2ubDJcE0ujYM5N1Ac3drbOUrzjVUnW4lNQSdX0tfE4RMTedl7a
zyorvv4kSRRi0OtwkFVOOsg0QxhVAvy9H52ytLffCZhTBx7rTsDMbOiBVk2s+Lq1wj62pvZSO9nq
Z+zdvaHnbiA6K70U0FXu0R8A9AGCoIZBNbq67SXzdoaddtuu8s/k9c3Rb9sCJ7BaDng39e9jxREt
k5k6lJYEdq+14iGTLopA033IZJInCs3hE3vUMKNrbZNkbo5e44DnElp+ErhoHn4yL+K0/cZ5jVFs
rgj4W0tWHjEE098Vq35+UTKC1anGGxO4yZVR6jnV6KxxO+meE8ccg3ZaGBzr5BiNS9tj1dA62DLD
m2+0N/jH2UJk4kpfAPgbZVm7xoFiOJK6fUkmo9yYa3EDNBIViCGynwF+2xt7yQVJ+ORCOeMrFIb+
MPfJE07gH2R1mf/wW2yquKngtItX9on0IKrK+mST3W31uDO3jVZeJzr2fjQNBJhdDE5bblA9GL7h
bSAWO+WjN0uYADVmFThGXvSmKF0FQqNUh0Axj4+tsfpbCy+KkJ2oZiL8Z80pw39pcMaZbJorTf8R
E6EtN41psyPJVOQCZu0SqfFJKENHz7sTEJXNSNCbDTptVLxVjXuTZ3ZzhxWawdrItXojljw1NiBC
iypU9CH04UCE7lZg+TjyB/6vvPJ+UBz0aGU1Nw8vTU5+o+en2ebhykLoI8qbod3nBPlDIho0QsDx
AFIznegrgAqnG+yOsiooWMNuBrFqgWvIZ/YH8tSGo9bPBFNeath7YTMJ/w4ogZenRsL0w8FV7Vvs
LaeJCz4oAOVCZNNugDgw6xTslzPSJ5jC5e5PjgmYlmnT+npPRgwkHJOpIJDfXrpYPfhZ/6mXKVc8
wILQn6qH1mow+pezC7QPE8qflBN3KbW7UVgvOK76s4y0Zjt2DkUbhVntE72Jw7Rm2z5lHM46e+iP
lYx1lAu4XXpuf/5JQsmiMQ2Sen7LY3Ljgh4q6qC6dJNJ81tkK+Np9EiEONM8duRsAKTYvaueuPeJ
jePYJED1djjh573xaCgJWLdZN0AwNHQWKkjCTqfgg5jSjSWLPohg7kCCoYhjCF2W1y6x1SQ/tTwf
DX+pd3k6N+8YVutX27PMcptry/JBri+aAmPOtfe1du3O1QvtkPHA6zZQ86eDBwn/4uYckVzfy1iH
pvGpI0gQmmCCvjFn8dGKm/I9zQzvDpNMdLPIZPjQUufH76AWH1f/qUWGfiClGQV2Snwz+BPWIuCV
LLcd+U/2ne7fYS2+JHCwLL6z+53Y4uRwZBqRVh2OafBEaYP31WLpc0vjj61+Z7ekkXqeY/sLE8If
+Ja4neWBz8Ec/mS4jL53HXE40dlZiacYZGvA3vrOM/rovSR1FmQ4r8ArrlCXgkO6dh4FQ83lJ9ml
lQrPgeXLafcT79JlqTOcrIr7z8aR2Lb3fyG95JQtbioON4x3I1GvwHXq7to1VntuW89Tm6R2fX0z
UOixn5ssAqGaGa9OPUGiHrHcU2+Is3rrgb5/GXJZ/As2jMvVQ0CoGeWedo70sjR4cLc8sCg+64aY
iWke2csLWUoe8+skxF3m9RdoTD5k8tAQltj8So6JtUIF1GtOT/bQSMQn/P4OAQxSjo3Q/Gsh+vjT
TmA+bKs4iqctmtr8OLNNJnXCB+0PjAxuuwSuM49oRtBfWTKsCCDmM9YvNMqfmtyRW7sZxj2JgPYB
IKB4yairIXFgccNeOtu47+lFAy77J22Ge1l9XyyaevmdOAMaf6B7yfduulmTL3mj6bd6Oc57AVHc
5/Damw+s9l08LP8Li0b2nnoSwkQMncTAp7SuuK1uSturBDMjGYq/ImnMzieQgsIPZ+wvSJquKaEv
yi7OtlPe3y9xbxEqhWMZmshQz+zt41OGvzKoimT+8RNXA5ODQW1xqBRG6ehuEx/0FVyNFFaGsyYQ
NZ66MblUHva4/jnsgHCGIbtvtBG3O9LouYsm96hGXYZN7+SXBkRyz2Rv6Jd6qccv9KPJaeNMkN0T
smQBxSo/OWHaQ5O3za09j96hTAx4IWrBdtXrFlHeHLSQ1o3yxlsBOKi3APyo3XnWme8uXd2OJHOZ
/pEzXVQaLXmckwwy4YrCmdhlBHHTlzegoj40ZRghN6cI771Nu9vKxfEVHw0zE0mYtuaRhmTvviJG
dhxnW50czcXi4ETF1pKcOgYmxgC9uTv1iT/c/MTleI7/DaOCEapo1neZN7/HMwAsQWYcYHSGrGhE
JVpZN1+11AQNTyY1bFacjuZZ3j6hmzZQfzJ16rzCv+N74J5A5m9XfAaE35pZVl9wxRTWHHBUWA5z
NzkLD7J+uPdcAmwMeoRKf0HtzAkPm4ySgRw9S+UXYgHb0WZ98ydzx8i9BSfIcmvnC/9djwggEtsf
KfXaCJVf/V58NWNu1rZWhallLluUkne/6pwNAB0yj2MSb3+ieQhJ1Dth5NZhBKljxdnj4mGSg3QD
hR+LJNme5c6EDbcpsval6dvs3onZXGt067Wt3KvFUm9/p/iYuqHv9IUJ+R9RPqWftQ/j0D4MtSig
y9cej3ZjPQgmhXbnYYCEXCaSI1kAcbGU9mlp7nAD6AxWLPd/OHkr6ocV/lc5ghaADXxRDS6xrmhf
fu5i/7u2/jdra1z0/1+qyP8U79/eS0pBfiGR/PwrfzPwW795iCQGBigDmj++jb+vrT3vN5glAr8G
exg0o5Ue8re1tQ1YxEX+ZWtpOXQA/Lm2NvXfhOCKRp1kZMEDa/wna+t/dvDzVdZaG0PAKRH6XwA5
mUH4qTct7eBrWNI2KFHLYfCt/vmXTf7/ErX5p6AJRCIHR4kJ7BImjif+2Y2/GD2Lk0VpB3pwjGcK
WSGjDbp3V45KK/8NgYcX9FdSyvq9fOwcLODJUNEHwdv3K4GH94LtkjKjw2zU/p2O/fUGt415Yhk+
3TcOJ81/8w2JCv3lW7prAMImreMZFL2vdKRfNv88jOzWcDsSOnOHmS5qa3mBcx9DEYfcbXPjHv2r
7uFh2GFjVwBkiyKb9w5oWqxedjwEtlLEI9Ci4XxlaXfwCQewV/E71FSivRCxe38PQs/fj0uX7ktn
FljKpuoEO618KPICkojWyS8Gq8KTr7pmp0XQz6NZprfcvGwq+uIq2c8tZLM07ukXln35IKiX+05v
xHJNcqu7uk18ow9zSsi+YHENk/ywCDO/sSywKkGSmcOD6Ifyx2Iu9d1ijtkXoXM4JadU7Ow2qUAS
lCoY6mo86HVUb9ulFQABEJG7dh5DI5mwG0qzP7uGrG+7xqNxD8rYO3Z4MtrOSj2Gd3FoZ/BaG2vy
I5b9mqg/eq8sybSXEwT9JRkI2I08PzvPYh8jeITkmj/m2ynp3B7D30yYoX/1bWHP/SWpGly+lQu7
Yoy4zgMdE0GDtbysvg2d27xmlLe+ZH4uHn1AWhyB9d7/zDips+X3O5c2BFYOKNVZOu06xe6Vs7iZ
fMuTYs1hVlZxpxcQcgNKR+qLS+MxC7JqvHrzQtd8lHZb2MlcexnDysaC5HtHf+BjMqU68k42PyaU
84W9oXevNG+rXT3pkuWaA65j4vzwCU4m2SdV8jGvboeY7Oc59r2BZ8RiJ2XY8+IkVVTctEW5vOBY
0R7MKl0u+kLL3qZHMj46ldI1nOYZm2gNn4mFcoOkDnFfjVUfmnOaX/QsHj7j3pHfcmO1My8xql6o
yZTAAq/pNomcj1YWwWiM3S10CZ5ibvGpmxODRG6dI40BKM/jL34Ppq6NmmKvMf1usCtMQT9xPqmF
pQcIhw7Hd3nOtM4CTitj2qZ0L3u3PWwgcC7eTCgLmD8c9DnkscdoLMTFSfp7e0IF3OBZs7i0+fRM
4PduCGKDFDLU9wkwx87uNHlDV/vyTU5Q23ln7W8NdQ938Apps1qkfGzZyAfUpzziI0/DwV6+akNn
3oolESHxhP6WyWgJR98Zn6rKH7Av+ArdmIQMerSL+UAcUpDXytpIMOTzB9sMDrmRGqC34f9GJNrM
XkOSYUFl2uZxmdOEKQAYICO0znLxxmKejoWvM00FCTR4fRNp8NqueT/SdrrOyP3IrIqzdjvMqs+e
LTpJY44p9C16anx28ZCHvsHeCIPuin/Ao0Z03m5xPfiSyNIeWclxv06cJ70dVWgCILTHxLlNC232
WJT16ZplKCVVoPm4xI8qt9ee6CZV8a3TstGDY9NV430MUNozN8hMfXL2I01Bl6AF1H4VDTUDyFHV
yoYZu8kX12wYNXvXTjCwPomD80Yl2Cq0U04Aeeie8pJKJPiGfp+/anaTP/m46/edXnEbrkvXPihd
FlcX/89avijY242DY57sSdU6kosaQQxoib+3pWmeaBpqL8Y02QdRaoyRVIejdXFAMZ5FgghE/n/9
z2CyoqcZbM+HI5BcOTJWzQ60PMNwQTHPZrCgEudDYR2bXq9OMAf9ULLUrzjJ4YJiBzvWZ/JqKB6u
co2d4fQ1WZgUHDL4KszZOjIuhTEYdKPIf5s6/tSSXHhCAIxYq1TaAONTjeXDZFrNd4vE34UfJI13
OT2XYLP9ctlSZVskYTeP9ZEyEf8OyJTzXpQQRTcmhO9d1LvlA8cBjjM5NblVoNFFjOVLk+UPSh6K
q8lS/L7IM4c+96Wsn+IySRsU2HrAiFPnDmIhU/5/p8BKpnL+d1MgJnse6v/avHjGz/+P7sXVl89f
+Zt70frNxhrokkikqs8XBnnFv1t+cQPjHNSpUfMMaJIMLH+Mgasz91eLL/5GtGjTWQfJ/2jsY/z8
x5GF6kCfFRgwOQeRVjj/3IPXRtIrsnhyzuV6lg/YlRusjgykDaTlXmskT1Kx0PNBNZkJqbVmiwfN
2KaxiT2hhKL3VID/0cpTj6TT4UNZJk6+By8aDHD9piId77YstW5pC2U43JWdKq3xVup5miCjCkC0
gdVrsC52oNxL56Kstv+gQPhBWqkbBQbIcaKWjrsrwBHNu76N0UmW+UnzlsUAls3VHrTQbvR2s3LC
lr2ACa1fKlqbbAwIpFmgTPZpfyhIT7b3xD5zOnEj/7UvFhNoUN8O68JIZc3ZqbokCuvZ/6qZjlXz
LWZnCSe/EIxjrguF34TgH65Wqru8rZzX1nVHAuP1+AauIbtfbOnu6mFmIgBvgK1LCXaitZmwzpRE
XPY5dePHDG7RG3vw9qvood9ukOL8j9r3PoppvvXY37HVyMv5yP9EN4q74B3WaP2AT9sIZWb6wbTK
QNQ7+ZwXs4qGAZ21HzJRrNKN1cBKoI+iJnqJQYjbqAHdm71SeU+Lbn+dkjI6Yl8a98vizg8chOeT
xukTS0JK/yLuTy09JEWWfnI92A9ZzoM2VAS77kDXePvVvHDo68m4jETCnpPFTfeYEuv7erHcgMVQ
UqNtSXFj2QhNWl2wTHJaihRqKx4gwBc1yC8XHYVuqHMBVUFt08EaQkNUQ0gVBCQSmH07czSXQ2Fl
LJFmTOBvLMWbHct3bQ9+YTlaiVg+yDa5RyK4zRO+mOiWqqT6Umt4xPd45UD0DYuDKLKblCUF2uTf
/im596rkRrNXwkSQ/m5ib/+wtDekJKtTGfVjUW/d313votMewTd4AIFpo+nHJQTNa+gf/72j/l/u
qCbRBw6j//qOek27OK3SfzhZ//GX/rinuvZvgqCE6eC7Xk3fK/7zj3uqZ/6GSdxaOaw20SLf/OVo
7f+GRoNFm1P6X9PxfDXYmq5D9EFwV/xPjtbu+v3/4STq8e1R9fmS/BS67q2H71+OhczxYNfm2Dh4
lM0VI+wML4Bob7ONnluaoeBPV9HbXHk2uT0vTr7obE4DSzdrQG7xcAu4LIUmhtMP8qcRhZ1re/fJ
HFOF51TFM7fkChcYnWLczZ9B3k80Eg7tu46+2EGm5gX+0ndadRXS4eRL02GBKUrrPu2oqs84c/yL
NU/2O3fQYkFSZvdpNiiDGzyz/lU6tfY9n9zpS27W5fQdTIHvZqe05yaOzh52ZY9jbcrOOtFub++o
qHoeKUaQGXVVg3U7SGEYW8Yy7Vmz7EZulgR8GwElwmYtxpS+ZBjduoT5bo1uwpSTJ94bB1lPnHup
PF4WYsEHYxrjS9YYLF9zh4AIT8eaAp5xtHdgTjCt94TxmI7OMa2CG9tboD11Vv61y3qmNSOythpg
haDAJnclZTw/chw34qPVD+m+bsrmHp+o7u7JtVlHfVLaK88ifM/9NH2hwDFZD04F/KRFte616VOi
164zaX64dAtmGho79HYX+XGRBi7oFXFHo8fS7jTKbp+7tUhoaDCzbpxibF6tmDFwlS6eKZtbX+Xc
4LVIaoZXP7dZQc9iNJ7jlGwtqPXVqyPN9azVgdW67UH+rTarHlO62VTsJT3WXcjoCQY3KOdtle9G
PJBnAwOrGfz8Y2FkvK8Rq1pn0w6QrgNGVv4O2JfcvTQAWl4FZVxEXyQ74YxYcEoKxvEuUlmID0US
L8Y2nmz/isuSgE0lI/9qDJpcz95AHLg0EXPgMPBrlINK96ML0hKWo28ezUTa7w20OEowpYf23039
cvYZIvg9S6M+i9jIlyCzFn4hABh8nbazsrPMlyI58fzlBxiNFk+RG2e8uqWKmtdiLCmWiCMekJyA
OjMjZ+7CmEUudsQtnTeQonoZ6fFRNipFosX69AlfGwZOvvDv1rR+2aRuu2IPv1a2Qa3BPlVgT3C7
U0FA/xO80PWX9xaZLdRm5LyC3bhqMUvrmkfLgYk3TQlvy9LL5hXJVwssreGXiAah33upci4/vyPV
WPm0U5pjHmmA49ps1UrkycY4uo74KrzAtGyyDdYo1LLvOsN652nee4FFI9zZ0bvmtYVRpTZ4fLsD
oFfbeogz0G652Sb1MTXTrl9zx6YZtCLl68dmwa81lzS9Mfc7L8j7s3b9+VMSRB3iQzGTqw4Qt/hh
wfFwlZHLMm79rsCAWuQ96afeGdcgVana5UmOCO07om68pQJbMK8J1cX9rZz9+uxzIjrPXc2/+/QH
ZhtWEzicNGro93mtcUH4nGT27lhwh3KZMg5WqRvzLqXk4gdmIa7IzNHWa8pYzW6xrXnlvsYMWaMN
ldMQJA2ZycnN5biVvljQDZ3xUR+96V5lc/NqcqXh++Go43Gd0rm78S2/uUhvCNgLelBHhUZbB3tX
PxzKCkvm3PXuraO70TnzZ//Km4kBykSbfcyobaHWs+ubV5Z5PfuMTExPiqt4n2Eg2y2mIYjKxPbD
kMr+I9NMA9Gfh8618IvpyXOwM0Ih5sIWxFH5ZXgBLo5uafx2WHhNoi/QaANJjwbCn0/pc8BLhgFk
PTJj1vbdj7bJqIM2KIGhvTLCpbMRfW4d4zizjgg6vL7zlETXznW5g1BaqfiG5XjHiAcNUMUiRqwx
R+AJEVu5sqNx15zIqtSFlzDo8sR4qFgqPBaqxq2l8gI6gZsnAorI4u5oNZi/W25pnqJOpgcqEIzP
AuDc1YuHyd0xr2eXlm39dxNe0vNg2/OxKZmGUYrwWKfalw5B55qgI2+rNmdlX/heuqeybsVFagXn
dSIREMqqne6Vc1jF+vI9neOcTwBj1dmzofnhR3aJeZRLZL7OMKfOFO651CIK1zgOS5fflMh5W3uk
j4VOAea6II0Wl9Rge9s5XfkdBHdihYvXqQJoXjuf2Ml5twAUHwmdk5/XEYA7ztGKHHTB8qh9WCwz
OSqdzIJyJgguOLuIKTU344ApP9eG6L5SHXeT2SVgojXDI2s/VkfQbQLp94QncOWblyZnMfMlotzg
Ss9U9wTj5T6xVfsI+zPejHFvPEaG4T5V4EPIFk7Su2thBh1SSvvYMyb611iMpNkj73mJhfMy9GvV
3WTX3Z6+TBqgeN+K5oDFcv3gjwcI+yXCrLjv6ffdONgO7RAXFoWANXojI7PUKS+l6WYiLBcW1ORQ
nsPpDEeVTJqwGHXMluTfx7eomUqqD63BznZ6iYedHuyiGALNsGjpMds6gN0onwWprtdU4ADhUWjq
d0NmsRHWteaoHJOrejSzt4nH+xnO4HArhf42Elu5aWAdsyIfpwYWYBXJS+9AyVIcjJ9mX7PO85QZ
DzQCyx/Kmrq32Y/r9n2SSKkPqYOEfpbdkh/pQsTb0HZfkeeihyQxyBqtnF5GQfZcEnRbAb9fuU53
GnpTu+s6iZgqTHzVMHu+0708XdolZWdMD8AD3VXq1UudaItS4tz7jW9zWBhjNqxVUrYbEOzNrcsp
8UaPyHxtE3wED1YOXMO1BorDysKFtuBMJ3av1Vs60E1h1w1k2EY/5Xp3lTwSQ1xSwDgy/dUQ8TEb
s/6iUdP1dRxZOvKZmztMJ71ByVOSnHvIAXcmVdo3g9sdvAFTQe4K2oF1g2SVWzeTdRkTUu7KXU/o
iQV8JG4Elbe0ZN06FpeKniaXcvTqgyiMlygjcRgXDqUworZwCcrVCsMO1WgwJPaiscJkcsBamz7W
7NhqKWRmW23sfMuEeINz1XzwYsu59/AHP9WdhYO1q0CZ9pRyB/ky7TRXqhv6Q22s/vEXR2+pOulY
mxom4HTKdeydL8vyiVwRKN2M8WMnKiPdTqLIKA1cQ2OstW3cqiz/78upg3eOvf5Z5xR+nuHqvEA2
5QblxPUNdyAFqZbz+5by1AdT6mrfVDR8baWgC9osl/YxsUssFTBNxpClA+JYMtbGaYCdAYqa8HsX
OUdPZt6lzuP5i95DBYQzMFyTIfmKZRv3DBh1BopJxV8UEQfM0hOO+bY3TzB+p8Ok44K3IMDsnMHh
fZCQAWnBLCGIYvwdgI9QAGLzSShpC24mu6VAcODpWCSER/CYF/uGKMUVm6e2Uc3UPUVZ7e76qY2y
kMcheGoU2W1b4ITHoLbRgdo8orVjL+gyIDoLyclzbc2I5Xoyr+W0FoYFISZzx9+ZblxShR6AB1t9
Zu3g/IAnOYaQxO3lkPiy+EC5aA8+AIOwWEerpuzRBtQMdxsHSP3/2DvT7ax1LV3fSt2A13Ar2T/P
16clgSQQ/niEsHBvy53cXP15RFh1INQJtf7vMapqF5sQ27IsTc053+fdllUu9nQBKlo6NeqTMRyv
JuUAOVzKYbvoliQ2WIiLIocCu/ah8u7Z34qrAV8cQEpVNFc3+ZB5274ImveIYBLxnmZYb90GFrBH
DfhnE9aTT1HBtZMDfVU00WmbWLAQTvEuYZMFtjtf0lnW75EQQnzK+5CKPWHAlQusnZV38ZJPtDjS
7r16IKOwPnlMDERqjSeE5EgvwQSPy2XQB8F1CxYSY8O2tXbonPBLasrhYnba5Rh+R1UFQ3+XThXt
O+2FCtd510ZuC6+r6UkTS/uoh7Y7d3QQH7skfCBQmw6y73Zadv5trg0vK9BFgePyXCUl7RLr5Bwy
vK1JtXxnbTVlTfNNBe71PQAq9WUuKrhcLHlwXeFrllin0VcIZHi9LBBWokpCW3BjRQs8x5SiHu3J
WTB+oQPgTmFLV8hNR4okdo+VxeJ2Fs/iCMtBvm+c8qMC6Zle1CVg10uvtp+GKVJXQO8LOCnMhbMC
xgvvOV+KPR1nKQ06rh/YH7OK/6+bNh2dyDcNTQuHIAOvbpVYAUwf1xTlo+91YSJvEle1N+x+Z0PF
DjqdfjrJ/w/l4FfJR1iDXkDzgkP2kco46b9fD8YgQZCxJsS1suv8MzzDoksMdd27FXudr1Hn/BGm
+FuBFtwCRhPUzaXtEyoY6fZPJ3GwIgu19B4OJlAXDAIJ3eG10OtLNj0FXD4+p0DT/etEh6N31nWC
fv9t71hpdYW6o2Tl48Pei7b2u3ckMp3ryhIrBuXkeR90OkR7XTQEgP5ax4RtlaAzMrG9iAO9P6wf
XGHhF9nORXfKxpEwkyb7pybQ0/ChdyJEyuvgOBCEMfL0/M8r54mCRpuZA1uCJwSxfsJZpGDFuKuk
px6pI/VfmTL1t3DV9QcvohsIppFpoxaurR7typ9hpnE2sszaaXPAcqz4drX6sT9Q7e36Y5g03Wnh
B7t3foOb67FLHYF5kxM2j9/PwpVonT/AJk224yeqxAtg0idTQwbcJjnz6qUXRMix6LGzCxZzXg4y
FN6b0YFbcvb27DK/6LcLRQCqyaaHnvt6doUdJzgY6c2JPnZesaJ6vAdjxfvh28NxPYOwztlw5hCy
sss+/tur07MB2oNsvkmyGy7jz1NNWXjZw2lGJ5Ur905MU7jL2mwhfiw7g/zjqmKgUL21popj29sX
d0ynwa/PDsrTtUGHOLQk/PbsoJWtuImxCyE/ym/XUzL6V7Jo3bs67zk2Q4Xk4bW/NBcDykCq2V09
GllNIssT7e3O3fcb+k/b0B8KRqxtb5I/d1k/dNnz8F/Nt/9CHThWX37NdL78+38SneIvzE+x/vFN
iwiMC5a3H4lOKf/i/EBlycbRNTJYmP8uHnkhDkSURsB90lrkS7KZ/11MCv8KmZxAAUIR0H777xKd
jlk9f510wGpZYFlfTf7UPPnPU36BNuWky2yfADFsq+Qb7Rzv5iU+y4Ho1lN9okn8nMroPorHT7TK
b3L8et+e99Hv37zNpYHp0BgFeeM76venBb6hWUqFYWKfmm6xr2P/00I6oNfFvq6odbt0fAA8ow6R
0C1Xwu9VCegaLKL3k/voa3e7AnBWFu0vmMpmTXgYiMmUdK6hEscbaho05eU7SwObttWzP6OURmEy
1rCni8+0d9NHCenN92nxWO77tQHURP+FtV+C6OQ38ObICojL1tb1slntoRnp/iSlt7OLEel9/bCE
xaZjTpzozd9U4LNobrpIRshZWb7e+qT9kPuEbO6WARSGG48umn1fXJJkuCX/MZJITjY0EQ+3Inp0
PGvfJ/Jp7bmDKic3IiCgCZRfbUQkmRIslzsNXqobi/ezFd/ldHjvi77a60F9HiPXPgLQukHhgh9k
/WWlPWnICyxxpvKIxAbU+UBTgoc9azX79hHTcs5b9vRc+8kuEWN/SUCOqstGbikQQTTrIQMPlxjn
5v8sLv+b2gkxwZvF6P/TFb+Xo7//m3+aEqO/aIwTNmBpH35v9FNTYuT/JRwRURnxX0onbOP/NCUK
CDyCnAtbuYtRmmQZ+qc67cGmIsAyiw1Ni4bA8y9YOkH4akVxHH6b7XHidsByc6cmlvjpczasdZ+T
Lv4jZQhtPLD0dVcP+rjG6XyOsUNwok0mX7bNNC1fg6YnFVT4OHqHxFHvcZtBBIADyVMJePWqAHF1
TWCG91mOg/xGKFHvaB2X1ymK+fcLqs87qL0lUiADZk+E87lRcUj2hHIHpXNk5X37hX6c/DRbJpWd
5dOMKfGoqEWqguQyuHxkMQiIP1BvLs6jukSjLL3yCD534+HpegX0LttGZYzXZF6lnDL66azOKnLv
BJLezrUSeQ7dFaZcXM7vEBxydCzD6HLpEw0aVczu7WyN0TVGUfaVs2T21eItFoqfxmsPJMnKo9O4
yScnyqJrxypuHPRDV7Hr3FEibXaOiGHqt3i40zqnvG9gFWAfVgvtdY6u3W1XdcNNtDg+nUbkIUlM
A0Tsymw8BnzFX6eJi3gdiEnUnOWRKkNx3/q5oK2fUu2Rk3J+ivph2EFVrfCVWpzt4LjjxybMYqxY
Uyr6TbY+I8daPtXd6N2S+1tO3pJ3aIXz+TYQDI6NSOTQxsF4geU3JGNvnHe4sMuD0qU+SqfgMZJ5
3mDEUZ50jba1LfzxqxV5GxQry9aL1IVbU9mJrXk/ZqgpC3iYux7iQVUoA3S3znDNLXaYltIqp7v2
2LY6+JZgXkyObMguBuFPR2FHlMmrtLpxVrm6B6j2xTkc4hiV/JqPF8pf8ocErsWjbEW1R7Oizqmw
TB8UqLK7KPazq9UW9hVdV5ih01+WfYwHv7/MR7v84De+wtkIJwJM8xr7FMwlqc+i9LxbTj7ZVZL4
62GRGOhsaKCT7yHbOFhODy0hZA9QREyZfQPIQZ43ySDibb765fM4z+o6FqI8LfPoXYiB9rtKiQzL
I5l9arGVuUZlF9ziOkvKmW362ra0d+FOASHq2CTvBr/p7/LV9BdUfXlWWeOZQoUDG6MOwmu3Ve4j
pkLiqk384ixzSEeiI0FrCvwBdxM/Dd6Varpw04lEFaWVk4VSYkyT4SkdQ8AVy1xggaBi+dR66LFa
4PrJovQGVnVw1sBUPMhQodCUtfvg+cXzMnkUQa3Edx9lWN812lsf+l4tGDLV9m2TClLYJMOt88Dq
0Z9S+rWvoVYEznayRPvUx11+A5yzxRqVYOEZK9T0WGv+UbJm5T0y0gpEhNXtbapIF3nCS5w8LzsT
Y4kyyC+xv/P64QsRvu42Q+HcDU19RpJWnDfY9NZoELf02EHYycq8uEVlXL4P4vIkkASdi3itz3DI
JWOmsDEYWSwfMViDChVUeJhkXrsDlzdvMG/M39N65v+9ziRaPU7oBCCYuuV4CH2StjXfS6KRW+WS
puGF4inVpQUqUjzAb6xuPkylQPJEO2q+jaJDMOTVkdYF+wrvXaA35a2GgffJihG0FMJzbnM78U41
rUX9lgywvq5t3T17A/bjNILuJnuWSK/x7gXvM1p7OKjhpwG3MbVR9goIeJIGXUI26h1QqeIIxXal
NXkJ5LbT5BPp0Z2oemDgNtaEHJQ7xjFEvKPvk3Whp7wsIiytu6RlmetJN0Sqsy8S1aorytf23nGs
TzlmcqFRVHh7iAf09YmWftGuFtvSyj7SdGmflTZe042d0+yTF82XUqQrHIg0ug1wbD/r+4CYbE2s
4TYzjF0p0TzjH/4kcjkfc5u6ud0b8JGqPPtah429xcQKtz83LMWeBqfoAX6ofb36afqRxuLsEsDO
52gdxIkdcd0CLELOm/j4a+FUdNnn8EkQz0eX1eh3NwPY26vcntoHK87Ka85Zat/gywM4sUFb6ZJ5
D/rW+1hMlXsCWeDt4R80h3TO3b/RLJF2CyL15COiZXMZV/9TigPkPfVzqhk0mUYHL48SzFRSWDdL
AoXEidMbxyHhOcFbBCnWzuDRGfo6Ddbdsgxq389ueEF/QoBUqmzSdx7WiEw0WC+k38nAKpuyHviO
8UhubDgrolXdl2N8zIhz98USQ0nRWE0premWRmO74kxv1f4mSOaDoAB17VB2OsdRpfgM7a7YTRxF
N5rD/FXGJ37RQxQ5oXiYqaW0XfRYCJHtqnqyP5UxbfKsTAiNB3e3uCK4Wcfcela+RLQ2hNahSmT/
zsnq8izwrfhAY3V/W6Kiuk8mHAsdu7U/4KBiczkZI9FdLBhXqeyuu6X9UlN3eLbXkeV/7IaVQvrs
J8fZmxwSiHS0ur11Aa7L1cOm7jKQ6WhEgwpWQT3aGStaZt+Gng3WP8/zhFoXgQiU/LYENeMRXLdJ
W54aSvZA6JWEz7L2HTacMg7bb1GnijNdQl7y58mCcEuFjILyjdZ1cRqC8THoAuJ6YBQp4Ixp/FIM
4pGs15Mdj99kuT6GzfwecSPVfJjkXK+tzjocXvddm1EcT9S5SqW806pwH4p8qp9RJMwfu5h/qGth
MdWzZeiKc5XwFOO5avtWY9Ap5nYVV4RaeJ6berYd7DO3Gfy9aKgdzC7E5HFCsX7TDu0i4LfE38YM
ZvWpxNoneqTL1UVLgHZjGzf2ccQ4cz3CB22uMtVazaNiASX2ivTOmeOCbOySgKa1im7XT7m7I8gr
sAxY6nP0f/IRT4b2MzXYJL+J57S8IHftdHdjuqbxscQJgC7XmUYrStPJEORfQXX21n3QxmASsD2M
a+QUWdGctQaDVX8HYkVNfdCi/0hTNGnNOSl39sKbHBL/42y500lkSsJJG8ZrfnI+RKUknKTDIOv8
S046yAhsC+JLkbDLWBKBCrHIfb2Cxk9JCp+zg1gfUitLLmk0gM5TO8u1pnf7uuNtnq8DAoY0m578
IlrOuwjiSc+J7OjUM3yh0YRb3uqO4LHBTGfZWREfColJqobhfApLEMtFS6m0JzVJ7c4H6kV5A9fF
5GyljwZcTBxDPnGz88FOLjH3LLe2dBTlfaSdSyLbz6MnSup0wYLXhs7gCFDuthJO2l1WNpAkfAVG
JC3YyGI0eQGv+TTaykV14VZH4Iv2NxD5hNEYB4AwRKPnOV8hqorwY2+PteyfRx//s+A+bn0ijm3W
lhl57P8c4v5XhzjbdPf+//vfEJb1xS/db873f/HjCOe4Ec4wGJhA/fdsUuhkRF5yQuip/4IoBgSY
PDfsHkGr8Y8TnHT+8kiJ2jTGhYEXOCY5+eMEF/BXgQ3r16PpwTfnu39zgvN+zUOa26H7mS47QVTh
26EBJv98gAulXqpqJMLBmkvl35CnxB6hxkRbxrAbhtxdHvKSXqdDv3hlte37JQie57hU9SWc0KZ1
D8ry6cbhA7GQ39RRbMesm2WRzvedjeMuGg9fiRUXhxhts0VMp1sfe49yXIDzZfnYu+8cKZUEe2Ij
5r1Ph5EkfIneBy2wv0SZS4FkJDI4ej3wDAQ39NhgEQ+4yWKfqXVuWG9UKmOE7D+9yJuXzNgvxlMm
Ifb/EmagrUzyDe4D/xugynk9OpB9nGbo1+Bv1U86gkCMxweGX8hiUFtFEPu55MwWWH1rRZctd74k
lddRAkay1G1qZ0rm+7dvyf3tliRdVoH06ZakA5J4/tcXZnpeqqbvkq/s4UFxBakyKc5Xf8SM5Jhi
LDoVG7DPqcN5JVXhuCnyWVGiwl+tKZ4aIFkt5VMO6vk5PWsE5ntsgVagReXMq9gPwAgRmXXCnM7E
WrTiel0LOIV7iNF0RG/QXI/A8N5+KJMl+GmYyYmaOUiSk/YOIMCRyTL8lEWI02LOrKKs/7Zx0oTU
RiNH874q42a9eftCfFGvLgR5nrZ+dIQhgxeawf3pQmBC2mgVc/yVrIkLaVqVceHjdGzzhc+EXv47
nAZxGAD4FZQWUaiTSP0e8U6df3v7Tn4tdBEjcSOhi5yY+pokjfMqceLQ+2BHcy6+avCVmMVDBhyg
FGCuLb3zhC4MmHdvX/G3QSbvavynaJWyJaPw6tktJ7FkU0rvuRzbrkEWvihLQzTEF2qZ/nAtMwl/
faEsXL4ToVh1qR/KVy8UXkXJThW4X2cngXT4t4tSMCWSVCPzjhYSM8SY1Y3U6v7tQzKHhPkflypi
+Lqk5HVl30V50T/PdgR4EtxQGer3sWtljO7bl3olJjWvkEQvJRxBOp3F2341oHnTOMWk3eprD5qs
kifARPV96Q6sUfgOQIZQ7+Zoje3qssk4Itn7QKfF+pD3Uilvw8kBdNrGpr8husV6RxJlpCR5ystC
Jx15l3Hy/ao7vX3Tv72YAJpr5MONp7Ha+c7H//kDcKICEi6+6c81MSh30eFkkn/TzmIFn5qmEqj9
Y9jDQ/ynwfp99kW8FQ4XoPF9GopfLVsxQP1ZdYH1ZQ0sx1239INnY78lpZB29tbxgGqUIF38Qj4t
aUlrJdiCrosUebfZ1XdZtU4I6NNwXocvRHfA7r1auMtFUC1+H+7+MErh68+TG0QCZD4TwKIhPei/
LhRQ7lVXjV3zJQ0zl0+R1Pmw3vQwephUuDwkiz5G9PiKa8uLM76mvvZ9NoNaoPRA/Id37/LMBKzy
b5RSGRm2P78A6KAdHxOplwXYx0xLvyfaS4jnkygChK8rWikxWQUZxtup6ZNiG649ByzUBmGIWaIt
enK4oLvMZXgbp2qYH9fFhBAb0FBQMXdunnss8vaaiTY/uH4L2mLTphM2YNDE8upvMY0OBCQP1NR6
w+cfBZ/qDKDwQweygnvkaBnRAsFZy/lU9I3K6/1If9L6gJxI6jtSckK/73P+m2mT1vQhrps0hd7S
0EU+T1y6grdQLNvcUxYfOhLXhochJ5CnyWFJa1EHG3Pq4CdxI4n5kUzIvhLHQM/pcDvAw2EzW1ow
Q8O2pyUmWfZ5EnFpC8gPP46k2VzNIj8lrr2oyNpH4nNkNLGv2+yq9OtwOU5OP9cX8IiX8Xycx5m5
hCG2WfkyxC3LBT2GKZulHQ9mz2zD2OVrw+506AEVw28EMfTjAbBfpIlkU0tqf/nOhr7DgAZ2zfTr
58QsYiXuqFa1b/uYJtN9JtVS5dtewRD653e0nMJghGcxJ8ktU66Z5o2XrgFjMHoZvDRaBlMWx8Vr
eKbkZVT9opgYuSBUIz8wTVibnVOdHukDcdLIXNHDiz7/tqgYhz/osrLl8VjozXRpooFdyyuamkmT
xyKv3tfgPKQ8QKEz00Xhg8c3pesoYtYkLmhs0rOYo/GvQold9GFIhiL0zi1Mq5fntpo1Y9jMOjd9
KCyMTvwhLG3BmKxyDMvpjJYoTe80nlkmdsud2ePvFpQK5iHySIn5qvVissX7xurMe5euZhXYdyt0
U0if2MtxJ53X+vwJYWvr6fOop5cv3zULbr3Dbsy9kD9ZySDZu2ifG7gluMnmQtOYm3uhDwxUwxbZ
CZ/gErbUOvFcFQIhNdAD09pdZaGJ27CfKLLrHnuP4BMNPPxhG3mL5LZyPzJj3OqKERznaWQ4V5rX
+U0lIaB/ygeYTvKQ2MJMURNa6zsV1vzf1gH3B/2MI564JnRciTL8KeM7X7plNYtHSrv2U956nfmk
ffgBza6zfYc3EfTEjTWwI8fTd1QQcLvYo+BQ/XLSs93n1ZUufYgK+7ZDLgL6j1jMzGqYWN2wU+SG
nOAEkpJG9F1u30VpkJnzPiVnszKlZZqvB2GjwYYnjFP6QA6AtCJzu0x3Cfmj9SZYlpnpH/aUU2BA
gmNdagKFqYEWGtBV1dHzOJTk/ESce9m7xkkzcHXE6uYN15gVQqdHodhr6yzrbePyMXctOontXFLj
nC4KxLLcY2z1vBsabHEWoEDm1DxMzfk2aT7Qjh779XXTNxEqGWFnPkhYFmKWm/1Af83SwtQBIQ3U
iLid1H3sAmHHnjsfg4S6UsEyK55hOlt+ahbbhWeO8hlZQUpudk5T6I4N/obyephBNTB5YEqbmQjE
qVUHMmpmXtrj3DOHYi9ri+QCfNDK37WuHjvneg08lsq+rRmlXVXwPshz25Yzttf9JFyW3Bz2KW+p
dmgASckE4mIntlFrm1VwNDkYVp0MJrA+2IOa+EmOMJR7aFuMzbpU2NoQFGjLYyKlNHeyPCl/Fozf
kFqsDppR5Ftw3KFnQum284At8/bbJbgIl4SZHpb9yo2n1KK4tO/gK01yCD07e/2iJLt8FcOc6rFa
Kc0mOwxjy3ScRZAhwpBht7A+LGFq+e9me+lUsmGJCvyTaoeaRwqbDvniWrkmxDIopOW5CltOIz/O
Iaz6ZnCmpiVheyw6VtVon6T5RHvcmK8rxM4QA4ddi0FVDP0H3u6HuJ15eKr1Jau9XibJHZMLtRil
pkolH3aOWzaTJ6TDixH8Ma2rbDJ/t/iNx8Rd4exw5yiizHLfW5RSHhyLWUmxTHamo45INLH5Pq0k
48vFnSOQDtxph5Zi7JpAYfZR0Q0oUldnEZ+teqJZ3K7m8i5y3QieWUeWrz0XtdLFQTR6VM+qYo+5
6JIKRh1IUOltm1pl7WdIDhjKF7Juyq8+Ap8OSROkuadpxWH03RpZ5D5REAzozL1gUtBZ8zoKkMr6
HqqnA8opbAW7FkydaSC3K+fSK9lWEVUNAFRb3hF+qM0ctpjUodjq8BDDmUKbkH7tJgyjfbmUVLBU
Zy3DI31Io/9B4EfuJ9u8xeEU7mLpLjE+0xHPb1S1MbmsIWUnKxFJldO67qKsXO3uELsrgg9E/JQn
xVBcTbbtqIOOZIJQggBtvUugWDVsfHRMnfco+ul88MmLb6lVRjC8RTL00c5qXGNmQq9qh2VPmZwQ
lQ07CmwTJQLMseyjMzkpbvZqdmoYwSRbgQjGXmDdKFA0/v3Yt3Bjj7aSi2ox/rLn+W4eZm+4svqh
tt77lt+vD0PNrAYcLER3v0qdoBMoByE7fL7mIFln8JpSCUzN1rI4xtmQIysALIZxQoQKxE23slt7
nC6cKg/rr6RVGz1TnxmWFgRL4I1I3KRq5Mb1+mCwj0Nct0G4G8nYluIYV1YhruGlWkVx1EIR1qZ/
p3STDkDDm7AYXeqjAQB0sRc0h+BV27k8TH7zI/q2F5qfnfcT9h5kVydo62xLFEMqFdzDBcORb6fi
qYs18ZSdEKMsWgZEYzFVDXXo5sXEmrWFrA54gzdrs61ELCR83G1owseODZzPAa23WeEqGglYSjJr
QbeIj2E5JdRavF5N4cXaJhYhaZC2QOivwJjk7DJDHSQuFQkp+Z2HMWhM9Cf6wpwcZO6A1twuvq7A
3IxtlYlPKGpqbsVRliyiI3Ufcg1qbAOWyaDviezDAl6Ce/TdgCh4sondsEVcJsValoeZ2TRiazIV
Mo/av73XTi1W70RvUUlIVLucs62zasQTkUZ2q0T6RLN41ZkFsSpd9ugJrBKhCV4AAwOEp7rZOcN2
mrnTLkkl1x4l7YXrB029hb9rYkxLaw5mDfq1TY/Eg/vvo9ysk4UvS37EzZ2IO6pJ1jrdE53bJl6N
0LWtSDjHTnyZprZuDsLNZX2JuE2zLQ4KmJx3XitpQhb6vs0YUbMUg/NttPqliHboz/RYbtgPyRtA
YEEnCiTN7gKGnzV8MSHS93SP6CuzS/3YwXxaCjSsJgiWw1ZE9DzUG8eLLQZSJX4eNcclgyL+rRzp
YZ5YZnJzB2NvQds//TMSa8sntBkVqkjyQ3XKb2zgjwD/Lpx6CdG9QkVkyDKbOOB9UGGE+KnsKCud
v7xGNkzHeeD4Nw53IYUAnhirQ4d3NPZaAvSrk0LjMLBOuY20XxcyyItTqkRSTWc+4ai+W6Vrolhn
VSb51HV0eaRnyq5NUGEPwI+mzeQu5iAfCnx7P1Xk65x5m012J4cdIFOiFBweTTSvG9V1wQlgaa/D
GxAEbpNdilja3M+yojsAqON1No+qC4LMO1Tw5hNpq9YkvGo6s9Hsad8Eak7J0ThrIf8AF4hHGl6O
rStL4uzkZXdNtU7YNClQEahuPU8RBQJaMPHmIMx8jClSEVnbjED+DTVUzR/4781PE5V0681UhpLt
0gGszx6WUiPjXuCCJCaY95S525fPoxgA6tyV49TwUrueha+69GZPJ591OCXQqAJ8mSRfdctcKLcZ
/hd8Z37nm7lb1m5UX1UIo/SwS8o+dGi9RwXiEdROzcK7HS1dca167XgE2ygzSVY4JrSOEKTp94mM
su5JdwiqcNkpRgXnnbOl7136kzMUNcYFLvOssl1zCKRGzonNdrBc4jPyI8JLDp6852EJ1uXCQyCx
XEBUW2Z9nF2vLZ506swMSvwS+fSJrYk1+ibseNpsxiMJUdrLiThc64jAYE4Sm9MXNgYef0o4s3R7
/Kms+RmPGUySaKDAsdxLVcpxRKdd0lunUChvvKM9zkMRak0O4w+2xhy6pQhNFNbNjjnkS/SW/JeJ
apgfcR8nvLWhIqGLyWhorREECcyHiFGioAENRBDCGrA6LWde6l6qpk2c8wPTSQRcntRevJqlUrEm
i5OSwQwjqMbahYjGCenKfF4KjE2eXz69WpcmtCqtCtXwZmnBNLS7QWtEs4igJpM/smJvMVNS2uFU
v7PpJK9bBmQ1J+4gsgYGcnKk+cQ5LSfqSkCAInhdpjw5xvihjLdilmt/Fo5wOE5h73KmYGOzfOID
WqGAKx8Erjv8msgfOtaqvK1NJOrWLqv4dno5Nc4FVUywh7l2WKQI+Eex7clcueUeBqY5Bb4cLMoY
OCs5gHWeFowmWrHQ9DyEKyden+4IJjqHJCBh2ymtKcjtM2c0tz7WyMqr/ZyO8TDsrRlc8ZVUJEf4
QXC46w3yPbNgDbxGC9pq0eMAiko461cqAziDF09eg80DNqQvKwdOpibQrZzCzMq3s0b/Q86IjnL8
gyjoSGwhX+WMqKGHU4wv+Zc5Hsw501hhpMHO8hHsRbShdTzvHy75OqtGmopWkYBefd9xQwKnX9NU
i6LPxR7ggQViMtWbl6lRhnDy//R0v1+KNgBiXM8UjChNmcben1LnbpqoVZOd+JL5yE+JPIXvaYJC
FmvWrrdH8ns28Of8sUPqWDpeQAujB1rsdd2lt52+nCDOfZm9auQgM6YVhAn0737KZ4hTrsNeuIqG
RWOsfXo2QNxCj8E0YnA5d5OFMJWNiCOvWXteVuYftY+6S8wRAS++nj0BfNnEn96+/d+GCo0/hMGI
ojnHcdc2f//TUM1dXA3JJIOnIcPZCP6W3ZljIZsrR6i3L/XbnPNIDEeUgqgEuXSdv3orhFGZC+xd
PSF+88blFC9hPj3QEmc+ERHTifGnKfe6hAI20ZHCdQOuiQPwa0Jkh+guTMjfPwFMMGvUMPOx3YwZ
K/v7xEUfuuziiHifYGLhz3/jrGR371jt6CJ7+9lfDzNVU3R/JGkpkwaO83pGTkiH9RQl3mdyEhwd
sUsgSxWCEGQFfPtKr0fZDTybp4XDxNVIjr1KXmNn1VJxz53PaI4lwjpVmqN5lnNSO+nUNVHj2xeE
GvpL/cTFPJa0M0XegAof6aNfZxBSyJXFZOk+dzV1IuhjCGJY5lgUF95r3LXlDL4tS5Y02soCFvWy
f/sGjEnnr3eAPMA18i+k6pJHf72y4ExTOkrWn9vUXpJ6Ty1rLfZkPdIoP76ELRqEEnue8MHk4430
khS3gsGkvCoByTc9m14Gp4JryRiR+l/4ihs/8jgt0KBesyX0xdSE/S70Bmhum8wpBlZrOQVms9TL
iO89OmibD3/jsToRiwxyJHnkALXDq47ewDrfhwTz7oD+SuOjtmsKy8RWPZ3ALBZW50pOMRD1zHYO
mo3YRvaI59iLVae4LfmSoO8J7Vk1i8I1QVMeDt8jPtcxwXKcV9jrbWzoQ4x/mOQdmUlXz9okWeqC
tOzbw//bhJM+pEUkH+iDaE18PbVHThYp1OXlsUlbj5g1UYM5AtHnZiKAHynrty9pVoqfl1yz1Ebf
azQhvQDytRyKQtmCNC2cHiMaq3mDYxaJ4gpmuFtY1/T0cQcoMqKRQ9Ts4HdKEraszN28fRuvnxx1
DHIsh2Y9HpvC+6tNtEa6N/Eu08cCpFV1ntHxXN27xeR2l24//Culmw/zB3KDR6ZIYJYV+q/VhsKx
kyxVff9ZA3ZYH4JcmmmR58pEVm8/l/vqk+a3hxJ+oC0klTekN68eLJlmu8T7yL2v+wGSvKGvQVRL
SKNy0qVTnd1hQ8G74j8kCRvm5Rx40QOHtYCWS+M0RAqGI4+p36sJWSl5hNU3gXqWcEJJJYvAc4oF
rUlrzZZJA4SggfgIdShMmhhYGT+tLcfj4awiYC9KEstUihxdmfWaA0Ext2eWxTpaHmrMGv2rtwfh
1aLCGKB08+gQpwKJCur1GARBMkSVGOf7scrNzhw3lCrAOE4NJ+e3L2XAUT/PZ/NOWbwEDReCbdF7
PZ+xHSCn6vjxXeg33681wlK5xrXWhPojSz1L0EvtvaRJh1HAzM1kSX/8qdOY8mQcEGwGN/ClyWdy
FlSsdG7Vx2QUrCIfrfWy51PFDDhTVTEdF2/kwLRHtcvxOFtZ1PThR+GPapEpIlll7vLtrKG98ne6
qcwLX4OcqwCvIByWL6kJ7ZABhRMfpOZN5g5Ry7SRmoW/2SFYM4nlHyU0vkjmbk7Ng30vjslyeJvF
Af7f/GG/DX99fVIaSpdruzQsBeyFgLJ+3ZVankCHtoqfS+3JT3kH8v3gUh49iSJUPjn+dDggTYwu
Fkhw8U75MZIyyDwPOsls+uPDsaZomnibCMppvxHp0N7HnF/7m3LudbpNQw26NcpvK0ptz1r5qKlE
Z+GLRy1HvEPx3VykdtZfsSOlxtE31cXOgpvxcaWOrMGiIKvcKMit/o6sYfGANTp4xAEJ9rTto+7G
Z1cqDn5peVdy6fRuUEu7pyZePqTU8M9LMIIUf9RAOq+hBzhHHlF+pmsigIMBdX4zrq3t7DzVyTuX
/flJpXgubuJOpKQwkr4/4voCXEt640PmeSl9ULbl18D+A/VYjFH/tbRU90H4fU9YhH16Po/5gTLB
Qhsp9SJAOlOUwV7wK32OSH2PWlyTsEnz/OMYIpyDPjAWcAS75g6NAykxH+Uz2T7L36JluPWHxf7i
LkP/2QFydZ+OAXyeWVQXheyzPYq37OLtj+zXxZoJQVmZxSwgVPBdAoVXE6Ih/SOhYtdfeV/zTeTG
dbEXZQNZTHS2uH/7Yr9+0C8XkzTKmW2eGO51RIIimNCui+qv/5e9M1luHMm69Ku09R5pcMxos3/R
BDiKokTNoQ1MI+bZMT59f1BkWGVEVmV27qsWZRUVIZEEHfDr957zHeBAORqhUb0TBf1VOA/pZW/o
S9pGWOYQF0mm+pt67E8r/+tjotVhZMND/NfzSGe2bgl4O3+vyf+s4L5CPdrkOnEOf7NNfP2mf23D
X5/S0DSEBy4mUd399RA5Eiaq9Whl3sVAiDY1D9vFquTAA50jyrCaaHlwE2NzwSmZmQj29Z7wwW0f
mxYCconsC7GeddVYjXsoFDJR2W/JP6avKB/ynOJFk0VerTQpjLPaJ8Vn3unOERODfe61SXt0E86p
EC8FrsAwDa/03GUdK3Zu0b1JmcWJwaWx1rjTO+FIklFC12xEaKov6ih1b+b7+5taSCyr6KdLspQB
lEFcFxxN2q8lgVCgfRhwut+Nbrn4UaxHW71Mst04jy8F4RPfdMUd/U4LGXrUjWLtwAYDUv/r5Wf+
6W3Yi1hz0YMIhGOW/cshQKRBzvggst/DjsEB7TTYeKNj2uTQMiWRfm9AIrFzSRgqHKKcaU+Z70r6
Vpd9ZaFjh5WuXM0iNHb6PNE4ayAS58SnAGtNlct4KuwjXrFtoef6HT3Q7KpU+NJIAKnHyZvlyNiF
hMTAsysXOITG4RtTT/w5WUl80u0Knhed4l0cltUVIVmZ9Mug7V7JiOvuVVNLz0oBD538EzFsdE0O
ZDA3cXg3ZG6UkNqs8gFICHPBgYSMAECB4XWx2RNvDVNxjnE0GY+CrjYUljQla+qvL+5y7X76irm2
2KmoQS1Os/h5f95ZOlrCfO928F7HhnlSaj15qGLcbz4QV/UkhoUZ89ev+IsBnxsN6uSiukWPhKEA
udrPLylULWtyts6PpEqMA20z8g2CblIuaFQSekbSLk96M2zeK13NHkgUk8c4dtWz0rv65q/fyxfD
9+ePT6nJ41NzsADi6vzl4zdDbrZOWBQf4ciAgXN7GTyXgAt7v84nc1WTd02HIy+BEUqTXqGfRJa5
i5DD+vRJXNdj4Akeoykt+ymWWb+0fmmhF0obXZIA2O5qHXqjhdlrH5p2aKyIX9KIlAbyh+G5Aiu1
aiBKeOCrzWqrcFk2SSqVS6IUev7BYMNJa6PpehoHtjOCJ6tNCPAILJ+I02POmJeKUs9ho2d1ViAp
ITNzDW83ezB7jqbUIu2t1EiGxi+jk4hiI5dhJTIu8iy6fte6GxeMXFHUIYMfmStJK8tCr0X7cDlU
LoaZMoaO6HH9SrFHnDI0W9UKtUdSM+MnMP7y04i1mFZPn4AF/+tv58/PH1aKi2gO6RpWgj/19XSN
SWg6DumHY9EfWBERkbyi8piYGvKVcaay3+d2CR4ulNepx/GBerSv/i4t498tWCAZlM06ylVoLL8s
WJRSbd7OdvYRECrR+V9fiDV3UXaMM0sSWtO7d6T7dZvJgpFcucH4LXKavmKdzL/TIt7G/xN+gALO
UFoUPwmj/80NS1YavWUeHWgtf1Xsznk39OWYJh+hrVq3+N3aGy0jFA7XRHzBvtidCKaXh8oo8n02
6gIYEY66lZ3J8Tq2IwdBcjH0JA52+ifK+dpcOXWc3v7NN/enksG20LuS9qGhmeZQ+csl63PCrtza
6D7oetfhPZWF2RJNbRDn3GKv06w+ZabUzpbjO41ZfkazauMVwhM1bCEXtg+mm4VH1R7Sew3KFhMS
doFNkzQZlztMwF7XjHu/r7f/kjjupurjf/73y3seFz+oGn9M42GDX269/2y0uC07Gf0v76Ups7j4
yXDx+4/+oHA4vy3YYDgaFnoQoMM/DBcKtGEOgoy00SVb3//mh2UeRDHi80WSTUGEmYql8sMyD/Wd
e9/EZc9qogT5R4YLTrw/7XUIShGWQuFgx+F9QB/5pWjuYi0tQIiXu5G56ECTGl6gR1npkh/Cg9cq
NJLqCkJHzy6M2n6FmDo+DRbnPkxrgDoavRN3SRDrj1+PAIiqxW2PHeyZhwYKT6Y9OPqG2dxVDRGi
KzZA+gskQ/h2WpSjx+Dbyn2pjAnhoTRI9KOTKdEpFSUrGSGzfuCUk9Xrmvy1edVM0yC8tLOi0Z+X
crHNO2owpnbGJlVa4wqjwXidRoHhKQgLlLVaK/qhCaYlUd5CNu8zjyIXC4IWNJtysi7hGgcIjrRA
33f5EhXBKXnvkrNSrKHQ9kCReFPse4H84FWwVTcGrmYv6IpWXznVErtgW9m0dieIS2MAGM9Dm1Gm
ENIGyh+IOzYOcDX/5Ixs7szAHK/Rmw4hWetx8D5bi+ISe2X7WJFkwu/lnT0aldk+YnpMb9yUg0xA
9sTV0MFJrlqnvJJt008XYz2Gpm90nLxXQUQ/YJXlmQg8VSBgQdVXOWdSfMnrsSouZCICcqpV9J44
4ZPRPoO1rZ5F6DjXQVZiwyUPjKNk4NpsqMyMSszVkEjM2d6P0I6vUlG71+gBsf4hRjR3LdePbkHt
HjMrrrdzFA3HCF/cZox64AQYFMpbIWrnzHkzPiUpQRfu5Ji7XISgC4JG3AUcYPaUBcg5sxg2bmeX
V2lT98rtbED7tBBvHIx2IGA2SzuDxD+elcAbcibriNlQW8f16zDn9Te86NpjpUK78xgvm0xlQrN9
ZyDjrBuAXbSd0FqcxwoEyzQZ7q1GmXke9RlEMMIKhQjzXn/WgpFdnZVnaggQleHFmeGMplC2jswJ
7XDT0U4+GCMhxjsAo3Led5DIsM8FnXLUCDoZvEEjHF5XRweiS6ujcdlHZmoOlCtAQG3QHOmRHDv3
uoINr68EcqB7XIHGZdQq6sCMMzMUdRFDlLPpWcwP9W2IesYNiBBKkJ+sQFOlqAVQxDnf6oWirEiX
zAUkC3rA96MMPcw4vauXjGjH2ZD6iYWQhGYCbg7Sqjqs0HU9xY9a1bryYPIfHEEsnydslcot0ZXk
oqYBcMC8v4h72T5GdX4KXD08QiEicCDBowNuX9Pz0lAOYa7ahW8T5XxPbybexPOETHGW8zpopnSj
WvxRUqnu6zkcHmJJkqfiRuUlSMh63VbyJukEOY5ZpZHtkzDhwx4UDQ8WMyJrx+2t3AHfDbZl08wN
IkX0Rh4C3wqDllb7VjqGG4XRGrmXBe8BIlnMMafvtM6f5DheKI6a7EtMWv7kFjflDJo6aeEK9YS/
uvhlDwNGr7U9xtnakJwn63LcDoqhvJszTxqsxl4dAKR2RIJWRROrqZL2qZ3GWzkTeotldAse0nwQ
TTNh8+06JPhdeUXw4w2gIW3VNzNfW+siY13gIn0W0CpBWrIJIJ+2DB8uVDzmH8lkn9RZC76BNR92
KNWz28LqnaukR6FKujfg6aztr4F6Am4sgfsOHHu2hjWf4hpBeWaoEnUGMIVJpES3KPyUSIkNipum
rHwSDb+VgW2SImRfzVVzCZg5IFkcBCNg9oa8paLZJBCsL5smGK6sduEEteWry9MWc7dw1nEwBZuS
BHfEsBQqgOrq3VyWsZf1vXJAtiwupmyCVmGHz2WstX6I/tZLbTS6mtstKreyeaTSIdWLhu79cpJn
YQzKNmzGT2RJUKcjCnPZDOIOJnnwrKcmp54vjpyVGHlCoI6m7jviztKdnhvmRVFT6uNoo/dVhSUZ
G11qHJxgaU4rdAy6isCfeGZrShYFlDQNThK9NdsnSCzLOQDZLdOZOpY3blsHD25tcsvCWEDV0UUn
8kpxgpdLTuQ8xulTZWf5RnTwHIJYczZMF9xtOffVt2oI1Ed4Gspa9oSkl0MxnwrOAhdTPTQ7xHHO
GcFHcUkLTbniJPVgh3WOq8Stu01IeYfGLhAjqW1wIg7mmIRHN80dAKuFWXuZjDvbSzVCQ1a1Fc8o
EXK41NA2vF4T+kkPMDTOeQRKhhB6WNklEdX4FdOD0mBjRhzbER/bKQ+yUttHVlxRE5kxVBeq3tyg
ky7PeFbUk56khe9IYw/AgmVgDBsVkj/uwcjYaRpSzh5L8r4J7ORDb438A8V/7lsR/FQPNT+cpsaw
wCXjDtQ9VNCmj1ZX3CNl7m+Qrzjvo9OFVP21c6wD7Vlxu0+kEOETlpwlAqlQvdYw75mVK5fcU6lH
XBxUGsFzbp7q4D5sDNz3yTOg8jdHq80tikiSANCseAwonqZ+cn2ZlRrAhualzvFA9jqx1NGYrsEF
Vh9hYPdYDRUsII6e7HqNSamngZVgSh+I66y1FnDVkJ4LwXg+lAXchqZb51KDPKKRi4KiJGoGeAgi
n0/hJDnB5O17l0R3cHEopagvYgDfq0HvM4AFyeybBG7WKzTc8pCaSxK6XjueNJoWsLSCwJEcpxct
Te8UzaJTOtTqc6TZMR0Zx/5oRHPT9eIzACcMKQiAtWJ/KzKh+oSPxdsxVe2DC1zhCH7BWNl6/a0M
52ozu91hKAAbY62s1j0Ubd8Je50+7pTvacTtzYl4gMQS9/EwpUdEOwGqeItgqqZ1aQ7LyKvUZAv8
ujqUcrw18JFvBHkL4F5Nr0Of/y6pPz2pd+UtYMneY7bOtQ5yffKR4vdr0yolwfFtvhm7En6w4rwF
ofYk6jD4pmKru8KMl3m5Y55rIVlX5luukaAez+i6qiiuLio4wRddrX3Y+cAgWby3TlpHPvKJyhPw
wHZORTJWa8AgjusI3rdjRVsqFvsGHXVI2ukAhprq8Yqk9eC6CUpSsUu/zJptHMF3mVpgy3bFEhVO
6E/RqPkNg/MTKrb7kRjlG3ACHbRdAKqYPwpwtFFXgpPl9N9bfDpg2QZb+lGpW8vHBfmA7m+7FJu1
KK5KW5K6MbgXSHI/zTjc1RoudwalV8HQXi0EFCYQrQdAniZ+/oxoqVjN7Xg3kFRbCXlF8tcl1Vrs
8Ysn7nsCwJEqg/DsO9LZE25z04FA6pt6bKKXxYN7LEDjHa28LrzIahCPoxphdpbP1zhn0u/d9P8e
/P7m4CdcgyPafz73/d8mppPy04Hv+4/8cNirLic01dSXFBcotUsu1+/URSFIdRUGhlCSUxd8Gn/1
48Rnk9zKT2E0YMqufh0Tf5z4sNhrDuBFADq4JWEU/gNGGtOJnw98KvIc3tcCWwOWZiBo+rnTmNd2
23LoGo6kS2DEWApkxL/o/bmZ1Yuy6h0tp49uI43epqzoXH2UjCAEY0SegXdaDpq2WS2aLA1AdNJU
Q+LZPHwq5zbGiNBa0iNlCsWcVw2jUWwMfYAwSzTitEuUYUAXx6BOy/t90zGx7wH/yK6Q1WWRTUnh
933MWcZ1quJoBsl4oJPYq3t4WdPlZAQwB/W6YpJgPSlt2W+HsrdDTx1dH2JNdfza9nPGWGJlmql2
F7F/Fl4cdQPugnwAW0oHyl0PTJkH0ELzwsKHdHIzp735olYazToGX/1lTGJTs9aipS3N5JUIEOpg
FYTZ2GdbROyZ45tuCfwpD2v75KL9xF5HEbqtFaXkd1aT3MJU6cE1LsLXKDfSXcU4cJPMjY2WEx8H
YDUj4Y4noKS/0kjW+YbjB6G9hXdiy8hK+lHb0sEMq0kjDTOcZqQpOUYqs+6fZGNMD8Fcoq2Fj0Ru
M1q/kedyY/JBjUDttCdUvvVxMCG8tRqbnSHSfm1BTwLoLhqw/yXFNI3GYc0ihewap4O5tzDyPLjJ
NB5pyLvtFkVRLTdR26jQ8lnqHJ45B51rK11rPLzyrS6JcrBKc0Qbk0igk8DuFA5UeW8jijaa0me/
YgRq9fmuLoPIB7nQORttGIb1IJMF+qn1eDA1qXKhw4r88UVp92kHsfoyE7izSU3uxs0SiLpWC2N6
yYXLKdNtcnPblWN1K0hgu+DAnT3h57RWgcqg2gPIKeHQRKHqa419ledTwziGLmSDfa32KqRELBox
in7NcKHeTH04gq9q3KvRrCsq4wZPRW2Eh4iupU0eW55iVdFNgoKijgBT6oq9DBINyLVNUUTI0jN3
Q8NIGSH+K4ZlAeeqlX26DWWt3QUQ8fZDk9sbkN426LEiaG8do39TsYX5/YRGKMA+k6+4A+I9TWad
xB3g8q4XWo445hazYHjxzreF8rrFJgpa1KSJKnyz10IA/bj0/Tao70zcU6eaUf5rJvPA7+pweqA9
ku+CmTBNT1FUN1lVChypvlLaq6kci1NtcrwkbA7E4Qr3I2z7Nl2030F5b4W1xBLkFvuC5sujJCx2
RMQRZDcpkEUPS1cF/DzHNQDcrLEDEh5MI1XPODSgk8pRdzdlYdDYd0zcHBcVGU4c5WR11eSBu2kt
NfsoOLDsySguvTGq2d3HyV0R+/CWYLTz9Ynjv+nE+Bszhgqlob0g1300s8b0ijRkxub2mt2kfs1g
JCQnq6qjqrOuh1ahCCGA0LS6qflvO/R7Avnf7IoU8vQg//OuiIus+HiT8Vsn/9hF/f5jPzqh4rdl
b8PLztyALU38a2e09d9s2pyqyu5nCPK+2bV+3xkNGp5IijUeGLTavhihP3qhhvob5FALZoX5fUf9
R+GWzPh+3hoNBzklmFqUq4KuqPrraNfUJtAYeJx2ZREuGWT0B8Cl0yKS8mmy0leHEfWqKme5LrrR
9chQpbofp/TgiJQGhXTunN7hIJZhShu77Ng7BhB1xYKG2JD9oyowvxLu66kzuJPA3rE55hT5YaXD
EqjdTeUquH7RR3lMxM4VlmCfrQgrESFba1Hb4yoUvCaspp6StuA1wZr5ACae+sy962gOreqqRGpr
Jq+WUqn4g/nnKXlQHjtls6/65kmAMUf72OurBAXkOg/sB2RFN4kuXntO1vxs9ZSV8SfjdNKWS5uI
Mks7CyyUiO35PFY1yrXa1E8W2ANMomRdDwofrwgZ5485QTG9YsPCd/ZhgUqepLXK6wmTCGWOtChJ
P1HwjSvL4lLipWh9teaXZj2XwCALmo/AZVCdfR63rR80/Kte5T0gvwExGGjtqsM9s0sMosrLjAOv
xSHZ61PjPDidXC8/mRCLs4rdjkRlbeE3TlyCKtPl2pRiPodldnanrF9nLS+Zob6+MI2atz/o4Jhr
3pBeWanPQOU+bd1xFeAl94GAfU5FXTK5bDTPDCbIdSlRBHgWw7cgUwTXwb1DYSbXesHRpQUuwLaP
2deQjoM3DlR0k7jtXeAEKaHsQDiRes6balbn3eBw9fSWFx1Me+8I5e5rkcT1BN7SqFsfLIPqi0k/
572DS0x17wZH9LTr+K9cNc99zJsKExqqOimrG4FDxy/DfDzYrtR41i+rSPJvqTBPcSt4YJagp+2e
SbsVcB6fNRYWxRh0C/IwWM+fuFuA3lGUrrIhfmV8wXc/86eE/jXHdKXwB+mAy8DY5OUkelBUwOLU
7Gq+VOvW5czTPH1933no0HeBxkiOFZ8X0627WFn46mt4dp3lZAdVhJ/c5KxqEGKoi1idDqlSAAP4
Kbag6T6L+CPepVdd8Ea482D4VXjlOy4XNczdNPPNDzS0VrY9BAfCt+bLCBImVI/2icAqUtZtvmGn
YzE53I1fF6OouCkGhX9apflrXg7aOlDt+gD5wyRMi0VLtllwmOj23+RtUnlM4ZLV0Ey0IDDPbbAb
a+sGm5tPcBaXVO15D2FEMFWrjNvQ0jDI1kHs0SzW1qnNTQmhlPDGpKDtWrLKaAggsCrSS0fjRtVV
HgROD0AOG3y2Jhzxk1Sj+NxH5unr9tIxKu9U0Wnr0aD+7Kj4iG0FQsu4vPUNmi4HcqGK7Qg6b40t
kdswZYb+9d0yQl8cOsWRtMXlEcISKKraJUiLa/O1ymc7nTe41NwttMp0PeEG3FAYZj6W4IrIOa77
ssK5xc8xaRVbfeIx5vbc38bszruvr1l2w2IaZxmBNJbrnqHDC9QdZWdGfFQMMcjKOqHsaCrz9DLj
V3iBfAUi/QS7igqPYOq1CjLKy3XpelohgoPadMXRjtXxZI7m1hmSV4zS9MLtoTgGqZau4fIxBp1V
ZRea3Kc0z8VxsiN3Y1sssiLXiyONWF4dezzP3hx7Pw8HMcNhHY0tjowWw/jILxND7xmtTuyUVHUf
t167qrW22Q8WSku76B1/jHN1p4JjWisQyDw7FDzcBr66LyspMX7nCDEJnqti2laShwnOu94zqUk4
0fMWoJxwF2HV3eX0Cne5nenfn02aO2rrr5u2j60ehK1yx++Ors2GJdGYxlmbkmkLAsuhDUi2FxRH
FlM9VtRQMd9fmZHNVavFcbSM8dTZ6ScnXC7NxB3wda0thg9+mvMrO8H3ahQU8MYoW19Bab8M2bBY
ZkpwrUGR9HGxZFsnqD9rm/877xJgHVS+YczzxGBWQ/OoeUNIaKLnoIwuCbhkIlCuUyW6VobuZC96
O31wwsMUjyTQKWRtCYLuJ3WNbprZVDEqZIzP2fycmllOiCIVgbV2HUHXBS9+8qol5egLoC/EIqva
nRmmmY8SvEouCTbqDhgs+Qp1NQiDVRCSRLZOVGrHqIzldRQaTBDAuGQQoHEkci6bUqmuqSuJPYTS
WgnPIunnUAXdiyLL8r11+zcjJhGQeKsx/XRqXQEOh6NuplXvjsNOFk25cfMUBz/9rVr3qqThnk+M
XvFDtiKf4UVwif92VjaZjs/ulGoICqiZjTbf4ayWyhNgi96LOmKLjkHk6rjvmoy063pK6/hk9oCD
1iFB78pN0VE+QBe4+0Mp9m/0ET8LDyie7EVuyyEdRQjWnF+1iqQrabNRNt3Ojqdpi5LnEx6OwyPI
uYNlAQxFctcZ8d8ap36WZfz+uga8EQ3TiP2n2TKNMg2fc9XtxPD1sOMe1OP0vRgYSYKB+/zrT/mz
/PP3V0NiYWmgvmhz/DLJnodQMTjvdyRWskCWSsBNA2UdKq3qf73Sf1tjf3MIoDkFsPE/HwL8j+xl
eGk+/ngC+P4zP04AJq0x18CuZ6As+17m/0gkMTkcMIOHTImm6av/9aM15v7G0uV0AL+NIwIihX+J
IRyQlbD+VcsCr4bNTf8nvTFcfb8cABbDicCAoQpofHThfllCaUJNJGa33k0MMJ/owhSVb1U63Zpx
hqk92k0uN1U9XTN7mAeP7iwVuE3cYqCiUevjgppTn8VTEHc5SugiJXDSVYePUVrKsrsn4KPh4Weh
vC5wRa5ogT0bSsOtyDl9U4Q0XSZdDdfN6BLFzkVk3ExNdptINrwRgPYpS0zosU5H3WjDdzIWL1Bz
QM+XUhKwuSt2xuQ1auoVnN8GmQDboJXrkOFHM9kSky6IM2qsam+jP9jDPZI3hRsaB6xTz4ldK09x
lrP/EFa/Muqx2DLUZ46zHFAqp62u5pGHRD62595h+KqkfEggIyswGWfu9ZThXBr5SCEIa6H634KE
+ET3EQ8r1ZUQCpgQr82Kjo5WSwg2M68e9drZAvO0im15KdHurTqNIkM4JFN3lwIQxypC9jnUsziO
bAJwwQtUKA7zbs2BZTflR8OpnvA4wlsRcjxQPz1TYO8X3PRqYeQzE32uTWo/uyxvgXjN32A7qn6F
Ip4padVtOpWijvEUowL3btSDNVMva5UG1vIWgIKZ/Gq3HvUtYAb1Sk8VZUNzp7wNWzd7KDnMPYhR
pyZaKn8mH/oGR9NIJxGxf4Tyo52ra9UyZnBgykFiv30p4SvdVbQNUQ8HxC7rVbYeKAOvMzQjgTM7
tExkfTXhEX8yUufOauNyS/AU4Ip2AukbpPZ6RmO2c2sLmUPm3GdzpdQrWq33oRGgVIDJaVOitPlZ
Iz3nTVGR4nl2repnqWX6iQztSPgDfDQOJ1E9rwmDudUVMa5x4zRLspl+02aSLo0TFMTdRtjguXNW
Cawyhi5KDxlurN1tg7+cvM1KCAqEqURnYjor6RBgftLE2F3g6JGwYxrFvLdxVF8YuaU+G3xwv50k
hR7j/JguVlqWG+E0QbPS0TxcgD4y5b4Ev04bN5HTp1KYs7J1mrIMPifXHi4zrUE8HOK/pgKM0XCy
4YMlScTtfx/0/z+QYc1AGP9XT/qrNHuJyvynKcjvP/T7o941fiPaiT4KUnk0oghW/zUGUXWGHRQj
ZEipGtJR/urHs34Zg/xBD/djBKKTLoMkxWFvB9i16OH+wQwEW+7Pz3ksQ7SSYN8K3oHAcfeLErPh
aFSMlqgPBrNDfCvZRka93Oi5dGhfFgRlm25It0YS12iu08bqFEDAoMUzeiGAcIhjq5gscPSNgy3D
dh0aObb6Cyd04+RaWkXz3Dcx4PLZKg6RCDOCicGauwvgvFbjOD9oC/bcWgDoDA8KouoXKnqxANJx
mS6s9Elsw4EjajiD/Nnk/QBVvf8irDtqRMCqXLDr/ReCfVpo7PbCZU8g0Blr3eqLwgOq5sQvvVSi
pw4OKeL/hjzTTdV2REpJU43w++GZZJTdwZqLxlU+xI4+nLIITLO9cWqeKYDPyLnkAdw2PE6KidbK
DmcQycBrZNYQ/w6FidMQn4OGZN70087Og5OjzUE3EEnD9awXVFeHUCkw2QgZ7KIyhBYYCPVtGDKg
7es0is2B2JWiNZkrFXBuUg/W5azAaeoKpNxIK5TcG6VrIDiPnLk26HwnlTGjtAOnVDEDQdaCUhag
UDkn7wBkp9ZMwWOEk+lDQ4mZmWvkXW+1dAyaE6YIZa8ORXOtJsS4gr7SV0NvNKukjdCEAyvYhmal
3UIC6mIaMyrTDVEMZzhZ5sZyq+nFrpJ0TXIx0cnphIwJOP+md/L0SP+M+Gz0EvuylIzPip4WOuwd
iwZX1u2dfvRsSBKbPCeaVLei8MqEggKaIRt9AgtS35CcyBLmziSXu8G5yYccDYciK7YjBDqz0ldX
WWLdw58Kz3pYt9dD1NtnDED9tyh3Rj90OTY3VTSeWQ8lo40yfsjaMbjOtHJ6pBeiwKrout4LbC3w
BxEv86s0eIiqUSfmxVKulDEY5Qqin7uhZagfA4CJWyVB7+ALuu3TQ1U7JtkFmXWP0Lq4RReF/CgP
onD0TECCIHDyxh69cprnfdFolrVyJSFhHVO+/YDQcAtKIXzQIZlcuLPN8ElU5nAHv6Cl5KmaIAFe
1WSfYjAs4sLsmZYT+vBiDVFnxkqomdfMhOgwDiYJZLbfJp1B71Af7aOYKqB7oHkYZzLE6a+6MNQu
xEiqogFDcbVE21NfAOU9R5lVPHBCLLagRapXtsJHQTKKJwmOOvBNk8JQgcCd2sq5nKdsPJNBGR0K
Uqc5nOvzU6fPeb6BbqS9JSXBJMpckMlT17p9GLKRQ3ZSffRuHewoXmvyk1OSOCkrbtHGdE9wGrPH
CTXSoz7I2KRJ4KSPtVLAXEq5wyxFYihghLxmr5MbvAYXQ5nA0cHHuMXrPV0VZOwchrF1wYCSe16t
+FnlSiR4DmZzhgtngiq8hmE4HkalGhuvDGno9YLzOIOkMVuRdkLTSKmndTl0lQfRim5ctkjiqR+9
UFE9NKjDoVRdtv/J1B4MW9FRLDT38dzcJviz3kkbTzXqOrCVK3Mg9cvTsKrc2U1iXOTqFBxxyWOY
RHjn23G45zhsXyIzrLk1uvYWu33mm41avlkdmRwV6Q3XeuDOr/VQUrwKJRuXkW11ESahcR9GBqrI
OtOM1ZDXuPtnN7w0YMh9k4zQQNqFXkDQqQcbHBNHMhLsHVfhSwv49SMbtM5r+/qodcGApmMY/ajv
9CcGgvEOYKnmrEbiwI7aSAsTWuNAq0tqGNpSAwmJqEdl05SLsdFVnfJMyDwZnJUUUFa7UZz6NsaE
lDGwpJjLh2TcMTYeb8rBaBGQhoN+i1zKecW+iYAPLAXVHtZpd42KawIQFxAy3RfmS2c25QVVawPn
UAqec52qj9ehwHm/6pyIxtFgqJeUfOJuEkp7skO3m1Zhpw8gmZiIrVqc1WXu9CjjJoFgRWjliRBs
KnICmzypjm81e96NGKxpD0et9filIU3joN2baQX6qzbGI5pKxg9O5bzRLTA/S8V4J65DOwob1A8t
J4RomZusOVOQXobV4HIgSfrS1VO0rWppJUwU3qJFBgXwCeXMON6XanM71jOxOaJh8E94Nkk1VrSJ
OdSRQj67CIOacq1YWkTWYDu0uxD1dwZzeoPBIfCpRsVjXJvGNglNdcP9/pbQy7uhNzdgE8vKOzBL
PEGipjoMSZrD6QrM7NLEC8oksyB1vFDDnTKMU8wxyJJbTpPlmZWbcxhxh2uK1ua9Ji4E6nolMsoe
w3kIrcA48A7xVgNC9EqzogGWpWZ+nQeKuQFTWO4hAmoeHILRn1o1PqK9s1ckVZdbCdwXjfIov2kN
lXTmlDTA7fRZtuI1qUnondkej/2Qo9OzWhBkhlMz+iUhyR/ziMaePrafQieCshNTd5uAZcC7RNBi
GTqYhZ2Sw2KjBLcxYtaTpdpyO7gERE1t3Fz1+PfFOpnRJq4MLXegTUTKfugumtiICDYaXkG7Zs81
CFkcU076ngPWXU+Eva147D1HTvbRpHG7jBFsD+8JbW2T/wWU0l0RtGDtEMape5UYLx9mMW5riDJH
Th7Jm5s4UMazSNlKE++UgSX9nMhMP2htEm8qmdT7joKEAUvm7nTSbDb2SOWF1d5EZBIhOc7LjPto
rABLCZw7Ko0zb4R1CCmzLd6kOZD1ZmR3cRcKr5siazf0eo3SHMgnDoPCyOFhVGgDsEC/1Wp17jqm
CXCkE89IZoTEqrKadOVJxNhtwEMjWU6J4LYABq9JfDvZVXO21RZDOHL2Ad2oioGe4Vtx4ygyPSDL
DjdFUzmr2kVTZ8UFeT1RdEAPh6zXyC71XFFQlY4D0Tkd4Z1TQoKTnp+VtLiemjjayJx8mblUCg+7
wNntO+GncYo8Q1ZY6Oeq8I2wpMMbdWJbEF7GQ9jWrxQ5aqRYKPadNLR4NydB6ZHY+FFDdl6bU0Kg
KLRBTBmVyUaWRuwHence8Iy+xTluclth+ZVwxqyxL86W0jtsxjMoWrMTzIOqbj+SbL1LivD/sXde
y3Er2bb9InTAJNxrOVQVvaf0giAlEd4jYfLr7wB7d1ypxEvePs/nZUecOC2i4BK51ppzTI0KTnnH
op9v8sT+Dk/44X9rqf+fWsogDujTWuq8kkmXvJxKyt7/1T/FlEfwLn1NYjchgyxeIf7gP30z6izc
O4shyHOMf4bq/ymmKLPwIIIBp25a6h0gIP8UVCZ/cLEQQlDAc7pEB/w3BRUhL78bZqEdGRbJssDh
XEBjlHzL//83xFQyt6OsEqM92GXoQqZINeNWp69wwQeJOW0DvmZlk0f32mlueM98pj3MRRkiWU7C
Y9eaw9rNXeO80p0yQPjObJNMsGLlQeO891Cdbdgm2gk5bgyG4BJOVzCa5a+UHPXzKY7yR0E/CYUu
s6AILP1FpQsMQqXpDhs6FO3aiPR2DPpCU/uqKZw7yfj+C3bLSaubK0AevSlsLgPXFFvXn1cgnVGW
VUNdH6YW2xNKKuiiM3N8s++X8+J3/1Zuf9DSP2l2vx+PiRjyWzr6RGicVLDmEmCA9bk+vA8HCbB6
hchBFyvkGnx+pD9JMcu9hY5CLLi35LTiTj45MyUdQ6E5yg9jyCwamv+8wuxEO4akgbvBzMUi4w9v
Pz/oB6e34D3QivAweSQSnFxOne97URIryWaBgENN0sbsdDh3GznZuC7++6MtoUNIT5g1YY/582iR
741JWaT5wUCSlV2UbaF2k9Ma45VEVvH5sYylh/x/3dXv1xPPHQdhIPKBcRZEIfPsTE8OTTzl9P7i
sMs3TUP6o4dnZxWjUr6SrTTOxy4b9ip3ieVLOubjn/+Ov68wChcYfYL+9GI+P7mtudG5FOZWemhk
hll76uZu40QoLH2nZkr3+cH+foZsxKbIOj0ErkKcCmvaxkd/0TrpoTaUunmXffQab3Ad11l8YO9C
3qBbUht9cdyPTpKJEGZbx/FdRz9Zl7IoHZPIqdNDOTYDjj/u5mjJka9kgjzk83M8ORa2N/4+LSWd
RRU+x7u46Lc1UGD4w55OameC/H0DJYGORK2381nE4P/h82OdrLfvx7KREEMpcHVhnxLg0oJ5Qqvx
DKlZkVGIz6c45ok1GJvPj3OiFf73ccjpIdf5/XE1/3wxpEOpTJJGcgh1GuibaUw5KTGz+QkHy76L
6WT1MPXJ6V2ptk7DLU6f+AtK08mzs/wG1MosdItuDHP3yUxmwN1EAdDzGwbMVyTbNiaZrGSuQxwt
SLT1bJT51vzFev5+CX97TZfDwn/gxJmb8g1depS/f9KGyBkqFbrJIWZk89SmTnGkbzlfEj8SB61V
l5SJeEwRPwHjYY88ynlALVBOPw0nb9of9eAXxywsw3209MnCJOQ/KtVuPr9DH/1OG8KnD4TGJ2D7
r5GVbYWjcjVtj7TOecVAINo1XCafW5Q7o7MvtbR2V3Oque5Ww0l1gRYJMAnyk/AgAaqe+T3RxROt
v0tfczowqwPYrg0Rqe4QfP5b/35qPZ2riVEPWONih/7zktJLIHsBQdGh8HV8almEaHlddl2//fw4
f7+JGHC4ZQBIPf57+m1MNACKYEDR0jKVx7as8IuVGdgkuMr23efHOl3OeU4YbbtQWDx7iTE/nTpD
jrI7jKEs5xVS1MgLh42e13JNDHgGqZ5M4hrV6pkhJ/ebVpSkilZ2/8WFNfR3NtyfjysJfAAhfeyW
aChPOZg56ECTNyPcuxKN0sHNTRbT3p+s+hDRT77RAJu+vgtxEmaTLZbGOI0YemXQ3BxEZGckhodH
H1vrdT/4hE92TVrjg8x7OAMmFpOLPEYOFQOcvgVWHL4NCBwfvTlXFyqHfbjym9a5c5spO1J42mdD
q7PgdsVo3to0nO+cuNb3PWjh8xgdt9zodaLdo+NRNzMTM7nKy3i4Klq9f8lDsFE4fcOLTquRvftT
Gb4Vnmaj+y+aQq3KoQ73qjNEt0vdWEJidPGcrsj7IzutbEzxgm7b+FHi534YAWCTNx4OhbamCyre
8qEX46ZAnQyxzEvji8jizYbZGm2MdkheZcziXXURCd8V9sN1WbBtXOa7XrQeEz+SOz12REA3hs0Q
wOTup+eiyYLR7X4DXt56t5VBr3TF2x9lu6zyOTxgR+3GMzvWTr2T7jclQnszkXpy4S7/FqY7P4Oh
qdg2ydjBVUty7d6vrPmC70z+iG13vHq/vKEz9luzjPWb2mri7FjB3yDGzIgcCm29gK4S+YXcNipO
6y2aEFYrmghnJNqyQnnGpH3H3sgTSVKBoa/z3FB7+mRcuxmZNU4lXY/vxZSIJ4nkX1ubkV5eW5mJ
0zcV/J0R//eF09fRpiNKlV6CD1wkxAQbBb7yc/yq0C/u0siyHjwSIMwVXrfiWFhm8ppHhYlyqBIv
GBjohPHS0LQKydG6wbMw9es+a6drfWimqwRgf4w3wUi+AxJhaVJG/mjMFP9ba3kOi7EKj55MMU3P
sdcnGzUZbGCMolKkL8LRRrXUq4uIzAkEQpReM2OcQd0UtgZ9WxXsc2Tc1eRBcQLgutJRheuOB2yr
d3H9Eo+RvifHgqfXzsSEpyymfYwvDGKNXWn3Dshf7mMk5osIet4x82BLK7Kjp1ZMQJLwE/Spa+wZ
3lRbJvQYcLWqvYkIfD3oXluejdEo6J7lycYxO/2CvBZ1lI3u7GmhhvdR724rIbOXxkEaCDsFPxj9
l6tCuUGGaX8N82iic5Za3zyP164WRaBXc48NTFobtGxqbVLzrQ1mUDt/qoq1aEm/g8AjzEc/Ga5I
FZmPqeHv4rixdqOMqyPjOzhWmqTlWYw+IDtOK8+8dg3zOt/MQy9XZidCYD/iW+t21kVUJFft1CPD
HKxpcTCINR8ca0fu8QOKUnrnXW2e5TbBszKz6ZaWY5D59GczZcQrsCbEXTC/QaQb3wLyefVr86Um
dWCbaoVFQpMokZsO5kHTvefG6RB2DozI1/Pk8VWTtfm9sGAk4ZZaDWZySTNn3GTCuR+G8Kwq3ei5
r01FpMQ8HWMCkta1WPZIhTlfOollLYbT5sZI8u6oDQjjlHLO4cbNXr3Cc+wSuLIsIlH3q9Gzej8b
VYpXJxzCZjVHVno0ELsZq1CL3HNp5/ygKkfvshpmUz3YSli7acxDiTPY9M96GAhXbJREvBkd1ovM
1fOHtp6jB4z3492Mc2bpztTECdeDmi8yF28GPB13J7Le+4nFuj1MGJQOceMXHJRd9EUb6beePY63
7jjPoCWk3C7fH3JIsW7Fa/q1xXXXu2rt8qblB6EJtgJmVoXrdmYvki3KhKx0ujW9w4SlqARRIEK+
CLSU3X2dUvpInr9NwTZv5ytdBLB1BEO22iyuOr1/JAal2RhjMlyKRpEkH+WVBwbXyQQZGqlZnGk1
becyzezrJbdo5wDIferTaDyz5LTpk3A8ghcl9AYNh//dSqcOO0tpdovGu9XQzbXx0WrYt9Pz9mA+
EAJQr0iA6ykRco1I79bd4uh5LivP3ulFP3yTBKy99WLK6OeVholFzXafphFhaqDbCVnfckTHXUn2
YzA19zXTg8tJa5wbxqJEjFWImAEzunsqaH/vT4bZr2pDtr9qBNBbVL/zsektyAh04H1cXPmaWdU5
cNGSLUzpBtLN/Zs8bDBshlZoUfynsaBNAeVCSzS6D33uH7mp/t1kS4zCcQhHrQQK/GNSenfj9hpd
g6YEOlw15gaTz5Z0tJL49DCyg9HV8p3j9QMCkUQ8ZHNXXUc97JEiNNJDmDbmBVcw2YC7AvAfGsFg
2zzYRCtAbtLXpDma16SPgx5pXOvcj6JuxejavgvtxtgU3lgFOUm7u1x13ovsOSUWmmY9dGPCoAID
f8LYyvaCeImCRCOPhDUifOCx1CfrksFNdaWrkG0/CGUS3DqNbL450yoBjRqrHFId95udOTRxqiY6
mzTbqzYh7dLDTPbHr55y/LxHXXXTCw0lilX7Q7emY8o3Xfhjuy6rwb6kYq+DrHBdCgCjOubG3PN2
YRgc0yK/rlHnXHndNO2tpgM/nfjevmDIeBgJVWPiFXpnVTOFF6ksvUBEQ/GalY1Lzxdv+pOI7GZH
SBuKWbvA+1Sjzj1ozCm3dZq3j25Xfy/400SpVyKn76rMfN1hQn/Ra4Frij2mhvhFspcls7FfN3EJ
kiVV8swIZ9rVVbrljifbrDB/4KOCXiFrLIa2b5FqEUUz8xxZvbpGORwVuqSN5/MNbGKLPBt7DrGZ
Z/21oQ/da8rY9Zg27ynaod9mgA6HfydsY5xb8rZhCHlipYtyit9ijVCyPunQgUWiLymTeu2twVd4
MTHVvkxGWz5oUTi8ijbxvkXSh7+LO1PLN5OuPCYdNupvF4hLWZR7zRHz0TRTP4KhPTwxm0ou9axo
kA4POXqgBgE60QXGml1UdDmbs4svH5GsZTbhwa5gbfGr+gkEYqpfoADKN3k28s2ozHku1rmUjsPu
EmzAykibaW+EY380kJDLDf3uiuVsVtEdFn5zXk+2KZFlTHxGDLpDy0DcZ/XplHafwFjdkZbEfeOj
EFjQoY+1SuQPsokUFQY69lIruAqtl3wPiYxADscWB5NAbWIaMNtp7+hW+Mig03rRzFp7Mx05noek
l93bpUrXRsWfnWDJPhjEyq1MxnXfQ7KO2U7q/pqs4wc2xuG2Dx19FWfNrWM9RsQOrmbF8hrmIQ9V
8ajbpb7SPe3WHTBrpm6pmLF4O6E0Z9WW/bzGPAf+gs0JWAOoJHgbMaxSY9PTh/4AlOg1y824XDOz
dLDBIKibnWhvTpq5k874q1eWH1DLi3XTmv4uA6sNZdlhBFPgq2RetCpsuUOiwmgMScXGDXmc9XQC
42EXgVTGi1pwLHElvcCcG4KbizkPRJ9Mdw3zuTXxatFFWg5vGIusVaMKoi2GwTwmNHa3Hd2sY9LO
pKaSRLkyp2HmfW4x18e9/poxL11R4/PVYSN0FLISW2T5za4Y+45B8ZSeZ8YUZE7Ebp4N15qi2tn0
43Q1AtUidW5y9jbhY2u9YILRNfWGQJKYD0QVXk9GpwPVTeud13e/evz/21qrVGA4uKGKxv/eklS0
a2em6D3DzJWK8BOP3Y20tJfEETt8qaThSP+yLLpjoTXfxkJdySw89pXzgBzhgiWXhlGe9GdOq94g
tz1iQr0FFxCQYY2nIc1ffD0ZA5XRpCRO6ZWRf7dWbSQR/Bj2A/ww3KuV+Tr5BhsrLWKRj81D7pBf
hRttl8r6bIrdcUXw6o9iQGduFnS1V7ZGRRAh1nhCU/pjGvAbp9LcNW6ejOvZn6Mnve4WKFbrZUf8
UAOAo3mVVEhQDLUdmuR5gia1h2J2bjcPujfI+8Yj+S7ukjvXimKwXH62hrkknzWz9bbTOPT7gRrm
XMpW27dTurzms34EQOA+O50og4QEGW9DUGl7SBqH9uiYLuWE68dTUI0GW+ikzcRKGY467wdba3dx
Md3C7PN/6o47a0etzmnorDK/8/TAHMzROushTXVIJ+JhQqQCv2RdmU2WvhCh7ow0LoywP0SoO/F0
jFndruhqirQnECsHZNFFcbXK2A/toRy72mUvexcKpValzUpbTEWMWCk5M/wXrQS140VZ+EYsKi8g
R2XEYIcehQhhJoROEoNKWRTx2EuAy2FOn2mZacyVDL/JiAIh1BpqjMokCwzMzCUxM5TATThfaMKm
Sk5ciDBz4+iX8LOTYdv7M2WHdFmWRrDQ69JYqhMjmYZfqTLHq9SZjXPdwHljRC26/2wMv5HbR5M7
Qj59a3R2v3XslkokUoP+WlWjY18gVFtKXuS0JI/YdffUlANbh1xz9KA2rPbA3p4/rYF/JK2TAn1j
z5HauYZLfTU6/XcnL8xN0rL9Y4JZ4zJBR2UMmHzrKAXsWrUHE0sQqA8rPFqxTVOgo8j3pEuPYJnU
vB/v3Y43V05LyCrSV+qEAcWKKJ7f/ye+V5i3ukPZX7mpH4CyU3sIL/VLV/TUYFNr0iVAa3Y1KrY9
GsUmsx5VOqhjuJhJG9sr5GnN7r1RDKSAMcrE3BtZUIejMakRCyegfjSfn1jEY3Z0VF8GDtjSJ1wg
nECS8hdZR9RNR+Pl2k5y47mQOne9BEt7CAklO7Qwm6+zif0u1iR9rzKpLqZ6nhk765yXKOiF1zZl
XzMgy1szbG0CtmoLd1vmbou9KhyzVaLoitC8ZDGQSKtDvfU3lRjs5pARtV3w/OtKO/erqH6h+ZcE
epbSUfTUmd+2nYlu1UcHy7ejR0kdqWrXZ+MozoFV6pe2MdpnJCAzIVM2zatQMYdenjstwTk6pBgi
LdXnj3mbq5sYWR5lEhwkfl9ch2hmFySARpl1k8vlmuSIvsCJqhvu1XRZEVh7dGhSroWBaw+3VYlw
jVZchy0VHDlIKDIXcVRVqLUdwRPQC52/7Q/LH0SCdkeaigYuEGdUneNn613kMxPk7WcG3Vj2S9Ee
3n1TddVztQyIgfOaNJcZOLauITpofXvTjJr+HBu2SDdZnwFv6njuY43tteHSZ928N54MzQzflAH/
aUh5moAQMmEEd/VCK7G0NnzOhwdwrsa5j83kOGBdfwljuHlzGPPqaDGvMDhuZpNjHx7D2qheAJD3
BxTdiMHmbsh1qH55aNxSHHCGpenQ/gojFFOo9UcY8WVinlO3tE+9v1zeQs+zo6y4TENXmbdjhuHp
/YU1uyz+WZCZ8EL8M4eeZAc4vZ/DQ0/LtUDIo3UvisCpiHDbm77h3/ltkp2x+L5Ku8MiZCSUHn39
o9Q97HUM84JuaLHB9dwdEuF42SfeQLjAPh2LEtVOi+swqoBjWLTAL2poEt/Qxc32WjnKOMsj07gq
LSc82rnFL++pfOxNyXIY6Ch28b613GJ7eQrGmtYcQhdaCjYxDuvM66kJR1/ylLhKf430tH5hFKlV
a2axvNMIhMJNRXWKfJ710RdcqcjBu6YoCCA41Jyw3y/PYLvI6127Do9JBC6cfcCs9tpiq8UQQtkH
0mf45TnUyWsKjOmZIKTp+zR4TKE6NuQtrdQ62uJtNPky1mlzbnRDeRmPvbxP9NH7WQ8ifEuqyT8O
dpyjihr5MolkBOxguzMe3ZInYNHifUsd2y6RNlotmrSKBvcmr5Pqn7Ca/3UHfeEOIiFlcZb9v+1B
u5x68ecfmvF//s1/ZA76v/gTOl1NzP6Ilj102//IHDz3XyADnIVDb77Lt2n6/0fmYKAZB8HjW/wA
ZsCLOuE/MgfxL7bsEHuBm6LMxuj438gcTm10vkOrZlE52HhnLN04mYZFZKYor64kICtJCZbT0qK9
Zsb+uZAWb5Nrt+U5QYkAZ9/Xxd+u1dcTf3vBEizMhGWwwWzqtMPfNJHyBzWh95LmsGV462yNxKQ/
5ybF/n9wKDhBeJeYMPJW/zmoaa10MAyo7ajl8JzkpjEig47rLcVV88WE8WRW835WXEqf4DBjITyc
jKGVAYZrFqIP8mmCdGbRW2r7HvH25MovAkNOhpn/PhTnJFjbUGicTvkn+pgZYeR9wMIKWH42b8pW
Om/T4GwipLJrIli0VRMiP6916q3PL+nJ7Oufgy+gX55iaJ8n59lPMUnedd8HNEccit2JuEVDNOef
H+Xvq2lDdTIRFyBGATx+cpSOkHqUrqEMWl9AohXvcQ321LjDFgQZDJjPD3cymuWkbOZe2DstZtE6
yVp/PiegiEwrNhC6w1ggGzxrf6EkefOIvWBjU5zRCKu/GLL/fRkREcD3xu1pAFU+HSGGMeZnz6pk
gDmIzwUdUW6WX20/P6/lMv02THs/r8XNAvsfiQZDiz/PS8jQKLMmk4FFhvzK0rRzTKRXs0FffdIL
+4tz+ugq/n60k5tGAFXUkD8tA28YafIyS6dNxT4gzWogCD5u4Sx7/fwEzRMDzPsZwoF1bAu/JQ/k
yVI2x5njsdHsA4Np1pWgvfVIdimmOWCpe4lafCMb+hSzxwRQdD8dMqKOtW3tZdRWwUDi+VZOIHba
0a1/TBOZxzTt/ZVJ3M+dQp6TE/8EjLRRXyxMxgf330LutuiCPLocp0+c10X4b3peo2SUAikCYe8u
CBZ72GoaXXjoFoizvWrcwLest2Y+ie+6ovKRhldfgjSz1lEd+VfQy6Iv3gX7w5/G+ry84Qj0TjVw
qZ87mbLzPliiVM2QqE0KmWndeA6b6ibqHqbEIm58dPwcQKEqj1OZtuQ1FaQGFRNewEEv0ZwvpTB8
zJVl1OEmJE+TDWmEiESaLYR4pR0ULvpNM/T9ZmRTBV+i9R/lmAD8HLxw7VvgI1uhuTtItIwhLQp7
SFlH5mvkd2u5XPc4cVZTbp/FInuQtNgvMzGzESZQb9fiQwX50F+xOVL7JgFWNgs4BRM9rHM9nvUn
jX5BkJaZhip4fstm67b3+mxF9nq27524v+Ivl7vPn9a/XxDPttkY8NYjyPgrVnRiGivZvHPTu/iS
ORdtQU8/UEffSxWiKZbMRv4HR7QXpSW6ymW9+XMBoA87eL7K+qBFJWF0Ygsx7IdfivPWKsU6853n
z4/397oNlI/VBqGS77P1OVFGdJE/kEgo+4DIcza56L0PUTVaxBy28+bzQ/39mKLBooQh0o48Rejy
f55aJBHyjEPFV9AbKC+1xkAmId0vLuCHRxEk5VDGY/5zTy5goYdaAXCYz53T6u2qcX1tD4/Mu/78
ZIy/17FFUWYYHrtFA4LUyXGyRKPXVGObniYD7qfRpTtnKiLiKEoMCPDs2FLw4AMniI6t99SaUVCJ
LPlqWbL++mCgjYSBSCKTjelRnNy/hvmASga3C8SUu9sRudsuHNN+J7D3eOBTlMAwMPnbVq9+vdNL
qRlHXGb6cFEoZR1t5nNf3AHzw9/kuqRzeMh7Ueef3GhB8nQYW11QRrI8EMaz9XVcearsm8uwQ6ES
u7L+ltu8ynmjzVeyTuYl/wSbooc7zS3zX7kxDZdMDJmRjt9linUMdnJ9N5f44mqMS3sCiMZjOeeX
mt5/tbn4+AR8pMUWW3re/+Xe/yaoCw2C7Gdv5KJilYlat97JUUQPMavYum7cdBN2tOsK1+n5YrXF
kUC7Fy9x75Gs+QcmLeF6QpRL4Vj5NyglKqL31C8FavFoeRBixjqa8Vsxd7FwKuzA7tZffBJOtUF8
ZXksfjuDk6dz7HN+cDVj6tfSCPWXXx57Rr6bVNMZhLYs8hKbf5rqB6uiRu4Y5n/xFFgfPgWokgAb
oFFyT193j1z3cbZlF6Ra3OMlyj37lW3VtSs6ML++/rOiG/SESzb+QeB2L4donVYmxngrpp0UdTtT
76pN6wgX/LgxEqNg4heLOWAAUGAxV0TGr7k0DJZKl7ZytrX1tNo4mv8E76/dG4Otn2twKBd0+Asg
qztn5kCReOeD+p39xTX/e+vmOVSDi1oQPSbV0p8PDZQINwshbQUNFrsyDNwhzTeaIiUBNpD1xT7x
g2UbQaJN5Ul4E3vFkzqpyzNUFiw6QR2Vb36CmdQy4AyISflfHGn5S3/uSDktkLFEVSJQ1k839k2I
iMuFwh7MbXSfGVb0lOYKm1hBgi0DuyzPV7qjecfQQWDx+Rr7wdcXYSuuawuN/0Li+/OK9hGSrzDF
GiPd+VvYe9eT29zqtFxQJr9S8jpffKDe955/nSu+V88gndNGAP7nAf1B6yZEal1AGV7eSot9zxwi
C0EhtrYG9UsPi/sqwTEbzTWbG4HiHWVou9HZrXx+6h8+TLYj+LJYCKVPP8uJZIYRD7y/o1f1SNZc
oBgxY34tqZihxenb54f74KPp6OwcCc+m9qbI//PEHT/NogLJRDDPLQixmjgPxZjrixrxw+uLKVDw
JHF53933v6+raWdElSHqLqBGbtd4kuPNUKakdoUeZjGyiNfRICQxkQ1UipDADroB+XYatDOkMl+u
kR+9Q+xHOF12zkSyntztHtmhaZV6G8yGiF9rF1bEamyj/qpLDLtYjU7FiLiSy7hCm0HCAfRHzrCh
HYn7FJgxAqlRm8eLIbYAQpl9j7HpPQLk83vzwc9ku2Tjtli6P3+9gDW4uL72RBPYZtLeYMFydtXs
hmdp2798fqS/2xQYeaiTaVPg67FPV7BxljYc9ozbM0CuiiPSR7pWXcC8p3FM0vy6pvUbxG6P9CiT
+hcLzQfnuai9kXujajXcd7nxbx/dWPMIACb2OHCwyqMEUsNWdAwNqRqS//5QwECFy9Wk4eeddpmS
1OjqpnWZqqiweBPWTCxNGdN1ZpTV/fz8on6wiHH7aIuwRcTtcFo3AiSI0kpy+xLwOpsQrs8d7GZz
y9dNrfSpECtief9LW8ny+ccT7NBqMRzGE/7J+xwhn+z92G6C2VxIjUtvPUkZvrW4W75YqZD5/v2F
YKehLzpw1wOEePIeeZmoZKQMbpxodVQtDLJa0NdiRHFUhCUxfsybNoRm9vm6sYZR21E5ymmrJheb
IpJdHqXEosd4CLs5fzRr4p2w32JXZ75Dys+qD5v4pQJZfJFZnt3Bcsyxk3elQQRSySlZa9epCITy
B3s0diMy5fnM1pZEDhRbClFjC78/ymLj3pGmMja5QNGxS41icraWX8fmsw+OoPjlpDRLEMRRwcTM
xcma3zAkaeOHLq+M+ZATsWkHcWIUYqvptXEs1DRpAVSLobu0CwhqF6KXc3jjdEZe7vi/tRGZQdtl
MC6FT+pFmQ0iuvDcEmoG0TJVupMo5e4G5sWgE0qt2hstkcnI/VqzXflx8lhgMBCMc0SVHtxojCBU
yqrKdnOWzAhj6rlsz1MUOVDU4EOMmDo7RuubabBnpC7DHOpnhdaFOn2HojY3dQFjZAXo3DNf3I7A
HGgK/YQxGNf1HT43zYUA3qXz9UiMxV2ZiLbfzlrju7c6Fu9oi9MgkuQOxtOu8SY/geiHyWUl6kip
NbN0PygBUVTbnPQPBuWaiaSx6WzvgfAdolLyorLWnYgRhKR1TSiTJ2/o8+7kYNdPYW3mzzkBOrd9
6aBdgaa+1+YU7W3j44aad2XTkfLklrchpuBBxNE2U8SQmAK7bEaOyS6Sw9Ea5hEcQPeSZo5Y2Uze
NzKdrB0JWz+FpY2EVczw9UTrBgzo9a0vEicQviI0ZkQXmoKkOutEPb26PaR2IWdYju7wohpyJpGc
AuSYyERJ8kdgMltHc5pr2y/araGXyTX5ZWotddJpvCKPLywwIwHVQoJFPnyclGUHtmbcMEBG8zpP
4SH0Rbae0kyyqQCalPON2nSdu8xJp0PTkztCuJHNf7IlBgtkp2iP2USShNKzZjv1bb5K45CJmZsV
Z6MFDoQ7ex164rbQ4mlrjF68g2uo0AH3chOSahsotq63YZTX38FS6udljGeSuHsic/W+fXM08h20
fqg3Hg1rJm2VfWhzH2480t8DaUvmoZtduE/TcISytEvs2gCUPjN4lc1zmeABsMVdIudnm0Cy7YhM
G9BY+Fw4WtTyBhbeYZBuuRu0JtyAAL7PfI8Zc2ihSMaCvNWZLHMfGvTcqa82MXXDbdJqw3UTIW/v
5MRX2erOmWu6GLYVrHOt/NU1uLA9q0/25EIW+xIUwZvoUA7PCRQb8JNYx9W8llVTKovS3NTbKNxW
id/fZ5VHfLbJw/NUQHibNi5SxYxPOYtEGsnxG8Cw7LIhdZX2CFpgLzMOuiTIU6v6CtaWQuIHynE7
8UJsQ9u05+7cm5FZd9/mGL0ywl0zFCNK385sv2mkh+lphORWM/nNgauZ1Y/JBWa+t5BXSUSRLeEx
c4Uj8lzTHIa0meuhxCLqyNaOtGf1jiZtk+zbliu16rMyJz+9GO7fs+dMAtXvw6LMksOYAt63UTmR
GEt+EFzpUa0msqZwUXT6q6OH7Cfp7yLVV3p+VvPp+9ETF+SA7oxIIRntxAL61jl3Aq3Bm09zX2Li
dwqK74UMrWZvemD+Xry1dcvwfy4643sJo25DiWZf+cxLvyV+OaLX6eagZ790780i/TZ0/J0ZwMa2
6s3miCedgNapFAdTWN0TXbiF3gb4CMiZ5EmAato8x5HX/GhqgaUB5eyz22BGT9uwzw8WKUa7ZNa7
J7tqgNi71ThunNAmqU2qjpcjNzV7nekwciPHsdcp272DbBBeu7SQt1SlfrvLqJuKfcGwl0jZJBoe
m3CM1NYjUwjDerTQI/H0QqwtUJoe6hJZN8+gNh4jP43vcD7kZMgi8NkRv1Nrj7A3OUW3zvz4LDIV
P9XJhsfBnOR4gcUxukq8BmkDU/iLCj7zuYgFf9Wqk0DoiQOxw7TViu1dg0Iijq9QixGWx2ByS+PM
vopaXtVtWS3KETllu7GaEOGT8Btd5Xk9uKBTYvuKl6jhpeLu0oRvjlnhiytUffVrO0TtjVCog7uE
652k2RyQwDwHiMKSvdaK+Uzj0byp7bZ+RTxbooN1VD0QPkz4DFc22dtTwZ/VULYYrWiONSDuczV0
9Ws/1+0zwckmeDi3+QEFA5YKoaxc1qYswmNENyKQ4Hh++mNnXwnVaCM5iH50NSU2QYqjg/jpp0ot
gUy8Rp0lcIqNqFnPDT7L9Wb0MQ1poMob4GsxcR2elCGk3Eo37mtjtq8SuwofasBGmCVk9d2JoFr3
MoY4YGoqRK/vsbWzJXTcqPea49zq4SbS5HDWFpw8juDpwcOw9r2MFjjLAuKudS26koDusMZ6Nvt/
tBFMLCy07S0Z2LgSfJo4GwIscCdBdkqwJgKIjqKRzOlU1ZBdFe85bayye5oR1r550Ex+Ejts46yY
8fy2qI9X+IhqyczFtO+SIh4eBfwmdz1W/MjcJonR69v6xSLo+E4jZjBf1eUYX81OURKoIcr2OW/U
dO05nXzU6ym7TZbbTYyWd24jYLttxMCBMm3e4cWFH8EmI74SHVcNC9J8rUfa/KYrEs20SaBQoGkf
3powZg8NBIpzxxr5i5XKyBHUpwdfZyKD2RuaoGppiW8JW57fXIK/SqQh/4e98+pxHTuz9l8Z+J4N
5vABvlGWqqSqUuVzQ1QkN/NmJn/9PFvd/nz62HDD9wN4AMNzKkniDutd61nYXxboLQ0oLVcboE1o
JYR2XMnEmITmhmc75oKxqLpGTvu8710CGR2fpFmTNUuva/NJY82Kb7I0KY1lbgDm0awEEbcnUIOU
2vhxv3et0gcx1rTfpa9xY+v1PFnKfJDfWO+MJzuqhlU/NMYXmPeuW/LoyTtWi/m7NFWsjJJQTNN1
4nRfpt/NDu8ZqEutqnhZXHbyZqtjKq4XLkfeB1zXoDVandXMc/svMD3yrg0LBRMxq1PbT9XrmIRE
Olo/ugldKbZtgLlENL61Zx0L6jUBFWtf0AryLME86nf0VDWs8VBgnH05lbx4tPIcuROHm6oLa9UV
anropi12PRla/g/c8e0pzKto22dZv7PdnLeGbfPagv1N7YUXiVuK7atNBSGfhEcfLhRlt6X9HOBa
VVWrsK+sdyeInI1dZTORFHrETGuEOdlb7tbg9Vow0bSxQdU8h62VT2cjxw7OIQTzKVUxT2YWEbPR
yntAaMeeihRmkbrgLlPXq6ELkpNE/9G7uKear6r5sal7ow+5cYq9nHXDmhmv60I7jhQD3NBIH967
oVmqrtMuYtElWGcUDBsl7tW9I9pDP+EdpBG5P+oRntAi8goI48W04KjPETBg/IeE+hZQ97FPqWY/
p2VvffaUlUihGyxpWKZnq5HrwjVAgrf21Tgm9jPnbX0x6SNNg4OaM5U0zKAs72VYAg2Dls0JLymn
Z8JN0Vkv4gFSTLVzy0yugkEjFSLA8PvD/Ib+l7+SC5g99hxeJFOzIxZ6bjhLb5rg3SRp2uxTDa9y
H1LKleY2xOyuY/BldBWppWGAvZPqWytJmvtO4sK2hiA6dw0/pHNC77YjsbpAmJ4W3PTtt0AE7pPb
tNlOCO9pTHRM030Ucw7kKLfIFf+yFEN8FD7CDW2J+xDa6nush8Om9zV928LXXvmCmNZwiSPijF4M
KVJhNE3uFYcL+zmxnW3hjCW5loQFuEy4nUYuoM2ABpTvPu3M57GyjVOQBzOuhdx+gPSWLEfOsCp7
41zlwASewHR4d1PPu+T0zSg3HufCRd3W0Toax+prZtRkLquoFThY+RiIAp45fNiiYlmrKO4kBkUT
IJzrJQOERTBDOuo8lwO9HSVv1ANBmh+KXZvKLFk4tgaDNRnvZt18bgVOax7FDU3BcO6Z6nEg87pT
bjvhY5aWHDPsfpOyBFKjQXTv7Ov1vEpzy79qJviroR6vY4eGudSqnZu8cspyGQ+BwdAim/fTVPZH
lxrSgjOalvLAAVesojGBiGdhA5bJTOKvrikrXmRawmPEDK0nstMmL7Rsu1vHQIBHWivZseYKoaET
2ngbhJa8nhCzVe9AL9IFrIn0EAxCPzseYNzEG3dhT+LCb9Jjxrt81RSDx6pfZgxHB6I8Q9Neo/uS
PmqSHSnL4IWg1oJ7Dt3RRbfMY2deSkqQlnj+YxWaa42XccIfWZreuzG7X2Fdyh+cWLMfcBpLFq1G
e/QyR9tYVMGtW6/L7yaXEwvZJ4OhNwSfZURNJt0L+rjr6dISB80CObbqQRh5Ow8KGnuM7ZY32hDR
elVMtOsiquCoM/2E1qsuy1iEQCUlP/I8Ke5M6ed3rkBHBtfIAprgrvvMGlN/L2hs/ZQhGaGlqfEN
JS6Ag1Mn5T2BQn94qTnx8L4JLjk5kBB2Cc219lnls6MEY/XKbolyN2cGELYIQXJfUqb5wPmYmync
CfsQpWRoc7Ibn03XICI0U5d/p9QGU6M7t+EPvUmM9zSmM2hRkui7bUjz/DBTmI9LOxT091Zz2HyS
DqY6lNAgdctz6hT3mRxZGJp4VF3GUduXGzsYUDQ6nPVA8MgyUJ9QZOV97BJR5IxZhj8cw+FrgmrM
6hW+5ZQwT6HzMSqsqU1XfcNvuU5gUfurApcW9mmiFzm4QbtorsTstNwb9aI3YsyUxNc2HF75zrPm
j+XeHhA/V7EdTNpWm9QRoGVCGi64TAXXSUxyZ+XWOYfWLKSFbaHNbHXLbOxCOKI9WZCoE6qLJHLy
b7Pr+KmdtCYIvrYV/Pj9xXR6LeoWFuNJ2g4arMeYfalCXXCfKLdW4FAxTJQStOZFFKDNq7h38I8V
2wyz9JNyFggumOlIU5mBCnRD6+ZobFpndq4mAA/3Dni1ireQeSu4QMnfl3oOekhdYWm+anAx9EBL
MX4cqYXov3sXZXbRmU5FZFgz4od06s1t0RXFMx1e3l3qYchcVpWvPwxx1Uy7ERk+vLE7/uid2et8
PDiV81uD1+PNc6ex0Jj/lWRKeU94dtH+42mFLsOr2Gst/34mRPgpuL0IeISciLH2Nl8iaZJsG3S1
ZIARABzGgS1oVMt0np/FwNs57wr0PyqBFQSOzyEnOie2YYbgAkdEqZmtEHKSwql51GEO8rUa+xeM
Ul31xVHjk1MtOs7ZTdyTuJPqCJl5BSHCDG/go5HQkweoTj8wk653oMXocYF8QBNAKp7mOR4eB+Ck
v4/B/s+D+lceVBN/30/S8Oqtffuf3wuuTm/519//tv0q60ggyf/+P+4///434/ev+acHVfHfA0xG
FzSxxbzrHx5U5zcXPxiPNh4f5Vfk//UPDyo6+h+eU0v/DcODjdcUixKOAPO/spzqv4wDuPJQhsU3
05GQUa9dJdj/JMgHZln4YelnO8uPXgcqbhdtwzrEkPCFGsT7utd2hdJ9/Nx44UhjbDpv2tB8cWiV
RsSp3txbNAjvG6UgFUQK9ni6s2096RQAKqUJ3EP9PYW4IEulQ5VKkdKUNsVIWT9rF71KKVdWhq4G
UlhsQq0Y113knSHe+7fDLMCot/lVMZBLQjNQV0ZJy7dmmqtJqWWIWmRT85upMSkDVIpagrRWK43N
ISC/Kr3BWxrT0D2YgkRSpFQ5UAMomgh1g1LsmjZ6du2cijql5nlK12uVwpcorU9Xqp/hNogtSgnk
KL+2kQY7JMJOaYUkchA5kQ/LzqBNCu17VSttUSiVMVV6o6WUxyqTHBGUGlkrXXJQCuVgo5JkiJat
Ui9tpWMKpWhyqHkzOUEqme7ATpFvIKoPXDfRqIiiUC2PODoolTRHLm2RTVFZbkKlo3YaOcfKQpMb
vdI4E33PXlqlvOLL2eTBcAfEPj+nuF6uRebX3SJhog0EoMuOdWVFw9r0e1YZyn5fOm6Mdwzq6X1q
tHZpWQXH4Crq63tpQYikJsO5stOJPU3LnXoXta5k1anEqS6z4QVgMzKA4wZPY26l5NDLDuGmRPWK
gVesaUfmjoNf4M4byLkUmcVBIjN7Z9dafvXqiYQdKvFIQBEnp0MrQ+nXzcw42cVlxzcyBHKCDvU1
YhEZEWEZvHiQRYjzdegHjVkVh7oJqfedS704SG3mlCr9wgMZTUhUWxhlTtgUZe9qYuCxMQcv+eGZ
nC9WYxgVawZx4VNisoVDIsvXYy7KeyMtKfclanJlqx2A427yo6pCdoTAAEKrmI/GJk+0cd0qvurk
9LRItaS4yd7Z4xpgKu/fkNc7qx2YrhPimla19O03qVvZ04TM9V53nrXXLKtT2dOWV7Uu+TcqvMYL
qC0RpgXMEiwKD2hFmPxaviWeCYU8KaLp1oz4aDodDWI7Eh/88XKKprNHNxzBErgcZ/zjnDBLx02X
1sT7UPkZ35Big1ius1qQr+7zaTW2efUa8/xthct8DQskN95whBO28GIyQRU51dNEs9qnkHO/NTqr
+nJG7pNhV1Y3l98swZ3rb+BQ8u0z0/TuII0jETi14y7JYPp39qikMa3NvzN1UCucontoEntYkjdh
JivUH365qDKxbB+9MecfZqoW0+lZRFbYdCeC4Q12wcFOflw+aZRX8NNm7G7k4CbuK2KEhevbQXkz
VAHnHA5naJwILE8c18znoVBzjDa3vbvaiew9qbzxbHCmW9U1txIz6jx7BzqBVQ8IwIE2L941k1am
DQTn9rP1YnEq9NK9ga44XcnQMM8h0O/zILV8HfOJhJccOOGPwEQnG5w8Rl4KR75R7/MTabJPN1kU
a/fljOtxdjn1yojbWEk1AgB03i343OW9iCZgvw2wp5awf+8vS1XTPKnCZkMqcAY1Z/Q4E24lmzUw
xvWykU89me8FM6BXH8lvaV6KoJP51BTxqZfTLTiMh15yVu+d8kchULRydwLOezTbjnt9dBsr8HLW
xrs8qb8daqjJ4KOeciIGfHgeG4vbQ7xt3fkpqmmvdvSR6mgEfsRjkPaNRpZmKpe+ar1u2cdgfChf
tSEM98zp57FRPdluzxpOkDhauR4t2oaH+xGu6EnQuDuMCa2j5cFSzdtGSwe3MZrJxi8jpjWD6ul2
y5TCNRJj66lKEVWY9u561ezdXkq+Neq+C6DhYIu+CBWWV1I1ghOfJx2vWsKx2X7U1IYXvnPHNpkt
KdS1OJfSLU6G9qXR/I9JtY6TIcw38NVb3DB0koMQmVZcnLlGmjVpqcp1y/uOiB6YdRrNc6rNTdVx
rqbskGnH+yLpqkPgpQgBNKKTVeQNVi3po+zCRaKa01PXeHQnDu0cWvepalfXfdPaDapxXfe7aj2q
FnadOnZGcNWGDuBXqdPUPhalfj2ltLfXfPCZXrj6yiGipRu5XFLKtuiM6duaqnOlWuCFiQZmDzTD
e4h2K4Oy+BZD49sEtHzNs94shEWnPIl/BhCqZ94OQlsu+nlmPVA99FEyWxxegWMtZ9SlILyXlNbH
qr1eL/zpxDB1IMRxqbcHXwz1t1Ct95BWiuvScE/g+NM7Plakld3QuLXmyV4PZlfQ09tpyS4t0mpl
N1pP259ZfTUO/WtzbkLyLFOy3tVbRyvOSvpNsEqM/kUHlAADgd0+4C6BEbT7IJrxCt9gq08yfByM
Cm+9lfYLB31zWdpMlmvbeQxxPy9dHkNuVkX04ifsw0VjrVpMBNeDz4WYQ4L/CYa0P3vcsWBiSHWG
oD6IiaI7HYj5DSiSJo31OFmSx8TruDQD5f9qILB/oZdlBxqEPdVYSYSt15AkXHvYpA1fG+UW2UTS
l16YlHeWzTgqiiUnK0v5UqraP1V9Nfwo9Cn7AWbXOrktWRGHE9aipm16lfEUsZK3AvUYHAS9B8zb
goU7JtF1z6jEODRmaIyLuJmpBQ2kCuRLkAZol0+tO2o3rlEDDrcQTHkTSwgedaSt+zTprvFa2Xxi
CgrOSulUAIjngW1w7MoTeALvYDPnX4fSyenclOFTgFeTcOIskjXAm4Iyi6AgIA0vb89JId0aeinX
YqTBmV4D8vhxPX4XlBreGHnUPg61GHZV7MlnV7aMZVkLV1wLudt6A5Fdu4Jv4c37NOcUhoqsHXSS
osvKMOWuxKe2rOo2YdYzhcy9DJ9fK8MGYWfvXkONQVMTLwULoh/rEExRZpX1VkKBXnZDGi45MxxH
pvIYWLeRGXEP9ufXpK7LagV9gAH2IOvlbFA6IOIm24BlaZew1+ztXJLgFTENZ4y0FuDeIRJlTX87
g5RdpH3ZsHP1/s00MO2XSTMwr0y1V6sNTlSpNl+DJziAuFO7CSo32nQZ7HXNknRt1EKsaKTgEcdU
r2YYZ3bQ8gb8FyMDBWJv9MGh0WDcjsMIHcua7yfX8k6jMGkG9f1ki0Ny63LFXGYGJO++jL4ARNKf
zZbXyzJb9yLp1qM+wlDojYYC9Sbc02h5LSJ5hhbmAGvwk/00u+NVmOBeZbShxamxRtY9Bymrq3Hl
dXQnqpwP9dYKmDIkNES4ZPh5hJuBWoRmoANjQYQ1YkuIpM5tN9AjMBzekE0joCFmLNdANlDmkyhP
HShOSb8a/cpE5uvSMclI/3ZducpdgfcKYFw8fcSpzyRi4Vphae5UWwV36TuNVoAN+VQl+XTDfejN
89qY5uYUJU5JT5ZjHxEWXuRsifVcuWcRlNoymVvaoJharjLK3G+kVznvjQoNJ2YxvxuN0R6H3NNA
x/dfdTQxjHPMHsBwb6kcqX2wofirq3tzi9BjXiO4yLOKxq7NEMl10rwfRN1C6FZd8ja00cQ0pLbp
fQ3JkGvCXUQJ0fRUNtRx9GJchugLbJUVhe+tTW7bDx4CrR0VFOxqtjhoIwt8eiY1VLbM65NrpMus
tD9i+kPR5EVwIHXvFuvEUIf+CAnlXUcs/PRSJ7kehqLhHN/YO8sVDPeT4F4nVKMvJGcZjVl5m+6J
0VKXN8/2dG0zfb8jTzs/Z0Tlj02cf3ABjfJ1aUrYSEOrNJoiLFeiiD9knrPrazL/9HpXrVlh2246
qCWb2tDrV44v7tpk8nBuaVtYcgY6WyJxbqgXBQ1kUA510O1Arrxp5knriuHJ7QDIy4omzTnrfQIn
UwsnH4gOIWPfit8xhOjRIkzEuMmNmK1AD2omTlwNS84BWeB/+pHOwtFHjnFm1uA/t3i5X4GjF+9z
zBAWed6yNZZ8D/xQpw/FA5zIcu2owX6oRvwNC+PaN+a9UOP/ShkBSKWnJ6HMAYayCbgXx4BTxGAe
6DMvkTlLPkIRh5Lk4i4olNEA0U6ZDigZu3gQOD0rS8L4u0HBUmYFVKL+O1YGBk9ZGWplahhxN6TK
5tAowwOq+nVag1yvIswQkBP720gZJCxllUiVaWJW9glHGSlqZalIlLmCX+yRix+p44BSFi3BgpFd
3BgXKeP/VJ+/UH1MA6/df1J9jpRFq/9UlfhZ+fnj6/6h/Pi/GbpNrJBwqIXW+zNk3fiNrBnaqYn8
8m8lHwPbHdkdE5oa/VT/VT3VL15vOyAug6PcwH+p8KW/OvlAo/lx28fRnv69+ajnNRtFwuhrYWcB
mq8exfXH2PXyozJgA/z0svybkDEc1j/7CPnpl8gCjYt0odv6r35cwSZIIUiT7nM6D47EuuaNZjao
93ANYAW0oDJa6RjQ2YwWJd2QE8CXvlRHSLucHml+4nJfRg0WvjJ1MR4EBh0byzQ0YSkKXCBgYHj6
q7Se2UMS0c1XofCmbl3ADFxbPM5HwmT6jt+Sac4E+ic99XHRf3mJ8r8wwJ03NZ6UhlJ0yz2TXPF4
5mEikmdk5uDx+9LsN2H8t8MDgD1eN6C8BcdwNVmH58AYP4CfARufFuROs/YT9jJj4ca2VlR0hzJH
r++NcO60gz/GbCkTGELvs4+syN0MAX6hJ70PI7HOu2iE+JPGmvMa68HEuS8YgjbGjWSlPp1SuayG
W2nS+ARczx+iE1VTMUagdDKiM5hJdwNJIpfA0qJc9zdmg+F3BYvEcvaGrf5lZEDhfRnrtIJuInX2
KC0VzoJuyhpFCII30NLBB4RI1tI1UBYWuUuJtYvZI3rPIU3c9N5Ugs2fM5Yvb5I0pUTSf8G20mrk
j4dxzR0Ggp07c7wGkkdRef1BiVN/8nws/9h2ImuXuZZxNwuqbocw7Jn43MHBzbY59cRHo/FpC6ax
ve5BAfaZK3FyDBtpywqSWWrygYEOtQAiWy6xb4d3PUr+Y1o56QtxwpTe4SJeWlhFIJalzhfCYnL2
G7ZZGYxyBZUMTiUO031Lq+1r4jQpqlrMRufVxR5vE3egMNuZhpGd4yxJ7zhhc9D1gDOCkpBbzRjc
Q1MW+zGYHryi7vEWB0HzTj1MeM7T2OPeZIl9GoGs1AckTPiMzVrFcJbxLLLHssdWJZlebKOxDD5c
eqqzBTWFyS0qlHyLesMxGJRO+imYfDwubWJorPWuMmPpymcAZnSLFjo/WWb2kGiV+coNHMIRbskP
QSz3yfVV6RA+mw0JS3uPOY9CZDnm+9oavsIQKN88cswLQLJPC9aE9q2ewWTOgmRNPNiLtBquMGE6
uDU4CpOOsPIFFPdyV0d2ui/hoh+ZqxuvIwOvE9f3AYv8APskSbM9HN5giae1eWhI/N5Y3AJ2qZVb
cF6n8UQ/k+r1rpy7qoqNU9dXyYvE8/PKO8qZaOysK9rWsh0THcw1s519MFGm1577igcIzJpvgXb3
13nL3BJkj9EvOFF55ylpc+hrmsWyYo3i6E+1dceMkPKggUdil411qDEcFuJQuJF10/ldc91TIfo8
NvrYL6xp0Gls7wUgpFQ+dCnnSyHc6oA8Way1UQSvjAmTp7p326vWKWHUjJ2XHEgBzxBo8zi/dXSA
19VMVUs7YwbX2aE3pFqdb6ev5db23Ol5TEzsagE0yrTK960THjO9LFa4a3SYKEy1jSLam0EFOU2f
VMn2okrt7pPjEu2qGAJ3OtLjonCodjGglWzR7byNGdMWNI+ufEeB6a50GJebzAYU6Bb2cJeUjjxx
mp52Zc2IKJyG6YVOjfnDCY3+jhckvBnLChaYNxnQ/4Z8xXPSgjUdk92Q2ckWJKErF3lXpo+VqLMt
bztPiwYGBW2j+rSwMm7xKY60F4a6tR7d0eYwXLe3ngHckULPCT3X7OMFRGvzewZroZEpCnFw6nhV
AhOH15j2xzjMb6ueO5NZmtELhMwMO2sgN6M1oQzok9CPXA8gZcLzOWlQV++msQe2T7tbcF2WBsO4
bLzJOLhmtHzxWemQXlezrVga0P/GvUiN6ID1gfumj6GaF6M4dtToBZ7FUlNkxZXmOsnBlLZBlix3
qGFqNQi+3Nw+4mQYodZoPtzKrkmSHa0G8j11Pe5WDPXZS2jekqX5I+nAqWWNgzXYFuLBqJPmHHmt
dzLbiRLdTs5UcFHP/dgUkOFGx1Own0p7w06ms6MZwzkTIC1JDTTedTEM0yeU32QCCCqdXVE4w0GL
8n5LQrE/9W0Nnjkzi40vpHwaHKe5HRXgEdDxDGJgjO/Y2apXV9Eg/bbwvieBS3/htg3XtSD6HLh7
MdKYgwV2QuyGfnc1jQ13QoObr1aqC1ugUJS+AR0Bg1bWv9GFYmTYrgYL4/+sgZ2LbfkUKrRlqSCX
/oV36Sj0ZWEbckMNunz2o8J113YZ5e9WFPnbQoEzO4XQ7P0CS7DCasbwNRkgmXgfTPY3ZpxtdgIN
FdwkcNyOqQGds/Ob8iBLrT2GLWp9YqfOacgwXGl90T3jr3bRHhXqs7EV9rNRBNAqavzrWVFBdavL
ukXQCbbrQGFDs6HVHuLYcV+lKFl6LnxROo1gjbJoVy6XJBCkEArKGy8trJPQw4JlCekeNjOwOfrr
/a13YZlyEYZrCrhKYmyLKXRm3PGWKgCqLqw3u2vKoxYVzr2vOKl47azrAbcVy+Bk3k6SGrMoLI7q
DTzIzMLe1GJtmwqxChSHtfPbZB9Rnbuo46K8LSPTevR8yK2jYriSEVYimAK7ApdZ+y6bY0bZ1kor
YbRPsyLBInF/0N2Mkmm01bzqhj64x6NBM7RsTMDjeEadC1w2h+t1m16Qs2Y/Qp9VHFrw3OVy0K1r
/wKpxaOmH6VuAO5yx0PQmv7aEJr8ijvBbJrIVLAD14BbBL/lslEk3CKcmttqzqrbdKrkLolNczda
TrGcFUV3GBRQl1Su98xZwHwYrQDLCwEK79vPte41VzzeMK1eCFNQNZAEd5ZZNwl/n07wlHNKs8Nw
jbcqaZP4gJSm7d0L9pdZah2yacv5Q1Q1qihG/eFgduPKKdneptSP+GhCe88VUzjkbLqBk5VfdRfk
8IBdO1lZFxTxyCJ8sqJOAiivYdTW+U2POlEtQ8UxZr/D9K7YxlmLE1MThrczy8y/8RQbj0CeeOWA
BhlZSzCHSGjJHZUWNAqlEJQ9A+vN3sloH+OTnd0OF9pyfSEve3rJ8bVvpnWqpcPZpfdtwdhy2Lv6
VNzgkxp4TiyYciDTvE8OvvHatlNzizAMWI/sbbSgFGBEoVNU6F7Pokc9LbNH7APgQSGc2ksnlPKm
Stvgak5dTiuRE+51r+IeCpgL8EVKaWK/8PtwL7oeT9UYgapO2iBgmNYbouOIGZS7/MK1tv6gXKft
BBVjgaZ8Hfb4scfWrwGFxZKeMCDftl1Pp0DWxipIRbRsI4lxvaCwNeLg/zK7/lViuw+Rgm93ULgL
4Rj8lfYhTz3jh/BscwENlKxR6OKi83L3xVBIb3QYtIEhtlZSAb8ra36r4+kddOKdr5DggJPcVaYw
4Q02wiV2jAFWmQZ0AefHqLDisPzydZZEj7wt1qZT8PGgCS7z6XChZeKmt4V1bGCVG2r2orA/hB4A
macKaV4puHmiMOdZPlWwyECflx6zI1ReS6WFNrECpMNvu4lxOD3Rhw09HQtPvqScqt4QvKJnXGHW
QwVcnxV6vVT2bwVjR2u1XifNHLdw+nBnBf42UPD2UWHcKwV0L/j4vWmNtzYV7D0H2rertHA6OAoF
HysofB+Bh58VKF5rQMaLCkTs1OD4qi4sefQ0fIFtdMLEx86eJtMN9uRslYChF3Obc09Ael26lfdX
EbN/vZa6WP9xftsqqMn98M9GhDi0p0x0vtgnubL1a6NHWgpgMJOULiWjoBfcSDlLFWzZtNH/53up
cjn8lAnmVuqaBKCJf5CIhJ/0yw+fRVG701yJvTGW9cec1MV1JbL4xic1cv7PP+qXFK76UTRC83/q
9uv/SwpXSJG4Y5zzoypTMm41YGjioIvKr//8c37N4V5+kO3ZAYIDlShELv/8gqYlLtU69SLFKpg2
MWPAvasiEVkh2lsJ9Ce47oNYF8vJzt8qDymcVSWKbzBlqst1GPPbXX6l/9OP/kI/MizMwj+9e//i
Gtq9DW/iT9LRH1/yh3QEofI3amB0SBW/SkeGq/+GuVTpSpxs+CdgLP5QkEzzN8hZiD3sLYSxSYv+
fxOR4f8W0OWi0Fqq6JdE+H/jIkJ/+vnxsSGA+M4fz5Dq3/LV4/WTiQgWTDYnTmTeN02lYg5zTisG
pdYIM3OGA7GyyaTEIqO2yEtNDlupdmY4NbFnalO1zATtnrRIc6/Vw2xYaa6xhIVZMXzqq9dG1/k+
yJl8KrW+FLdJPVYKPerg9qT5mBSxaa4vIRVTg8uJxj+sLrEXKODpmbTJvAsi1qvYoBKsmLW5hvg8
2DRRi/hmhLxM7XfTDm8UiNK9jbgjmMnxsi3jqEfeqdlRNzgo5MFBWnrvzDh5a6NhutUQWoD6JtPr
VM/1Mqii1MNUMbdffR0ZnEEzbtzw1O6i2CU9oEHaLjG9PirX0F8tYJbK3/5zBbu8BSpVzbuq66AN
FNrw57cgn207oXfXhY9lBXvH6px1ZY41CbBy1JifmrL1FsLMg1sO6CZ3CpM/rXL90llyncJ9ECfT
2vMcHPtz1x/n0IlPJrf3T0Ok2nMhneYcTxhbHJEkRwwZ7KDIiNBhMyiiSIbQUxqrvPH9+pFeVtAt
1XBNlpW2hNjcenHwmUhupj89JP9GTVQFk3/+o2mXUx9gGHEUov0LO6Ii9B2FelXc22Uevhrq3Y+4
A74Ypj3eah4o3i6xaqRGem3smOnjItfaedMwjTiO3ai/V6nByxA4kMCjwk4PQ2nRXTDx3yS8qC+z
Ko2rSIOlHHeucU0hOgc5P3zCzGOC+cNqkxa0Irpppu9EAaE0pjZtmxK5WCFKtutZz/lMW63eX+mz
9Vm43fVAqeSu7UJnR6WjcqGCnhDjlILyH8y1jksFY+9rVgXJwbbL4YOWdQsbhjV8wAq39t6U1bu6
VXJHzECz6rtNK4bxzEOZnrxe42Fq4A+l1qeOGZWES1i7FIMkjHB8RjpLmK/0BwtBavHCTtbnGp8L
+y5AHjIWY8G7tGgLkRzzWPnW/cyEyl9UX37GZR4vOl6PBRKv3OF/NjZF3DRUWlTiKmtb/QjqnJRS
YfRHh0kXFRzctfK1jOdkNxHPDpazHZlnTbTjTUN5yTUIMUxTsz/vBkc9m1oK0Jpcz7Mdc68O8JZf
c0wMlkru+IsCtl/WLFVOaAYuRE/LsALey0AF3n9as0zAEGHUe9o5bvX5jkhPgZ7X4MIaYdbWHt2a
cFn47NTl/EG+kuRzq1p9wN3En0lVjqfKNUOaO3T57EkbYnyc6VvpVy8jgV9On27+mEu+S9rXDhHe
Hox1xnt/XVLNvdBb4oeNE41r3A3medQV1tyb+FOnTpuOUEAEtF5uET1EC7Wglikej6o11k6rmWuB
I5PvOQJarlM6yC4fW9C1YLWFOx1rBPRroyrDb64f+ouv5c1zAA7hudBmecKEhqyckweNV0zqxXuh
p1vaxbR82Y2Bgn93HWnpaU69derH/o2vy39AbD/G/xd9cfdUCdLif6jAui1F0TZ//9uFbfLP9Uq9
/Ew7oEBQ1GYqJ6t6tH96+QdpNAyKa3JodeVqyMMeSngttXvqpfkLjMTEpSEb7SGZBKKRM1ZBdRzr
AhK8r6vSJYtnEFNRJmlrSvvqLe1dku4BlyEaeZhcvGJ74o9RnsG9FJ22+c9rz7/7A2y1vRoup0bQ
YL98foo5bWoDfMY5c+d2PSYGJO8qijbSDYkpNAXrTCgZGUCnZ4kpYkdbuz7TAZ2uwyuE45BEXm2x
ME/lmzV6xjXN8UDaTRJiG5n54UPmSbzncRHhaPjPv/tlP/7lxedk6BHTMOntZfD0y4uf16Km19o5
l50iFg9NE37zaQ79Xc3Z+8mYxXyk9gUdzeshQxOHwRpbFO7er0R/ABIglgOetn3mQOovPak9tG5O
imigzWFZy664mf1GXDO+Hm+HPIB039K9/t2zTfAWCfu9oc9wr8+zT65dJRs78tMFMxWPG1RCfHBU
hrmW8OezSex5p/lkzxpAQesQKOkma6xoU2Xx+Eoued7Wg7qXMrRYz4VX+MvWNMcvI2pYr8zc1hT4
yjTWM/UvG6tM3w38l01sFRIplULdzMYxVXg86pwJxtvLoxcGWvSJUBz3a0QAfj38V3So1OaZ8TtW
yzyx+iW2o/hTr5p5k+gxhGo59F92lqsVRL00CfcXUL3z0YbQznAtZ+VDOCWcZubpg06FFPKedMWL
lycfVkkuR0bxuE8Hk6Y0ZSzTbGwGBEyalYOh75SQ5Cn+4oPAIfFPOyiPIZNAzgwAgZzLcfCXYwNr
dd7RAyuZbxit97/sndly20i6dV/lvAAcGBJDRvzxXxCcKVEUJcuSbxCyXMY8j4mnPwsqV7ft7q46
fV994XaFLVMigUTm/vZe22esgAP8fW3OxglLTUAphhstDldCtuGWrVj16hCdx0bMmrQJ8/YQabW7
ZjySEczD4kVOXI9TfyAhhXoQFtuuxvkEucrVvyCuZx9Z/rsvJmaR33qO8dpaOnbuEiL3yKcySctu
h6KzN7lLRftqEoVFxNvKgmybGQHRFTnn/d5j8r7mvOYeiEZ/xK9pQAchhZ75mhnvCPNq9zhpFNF0
4OFfGTiyRKbw3slBlfvJmGG+cdfuabpYtpzL50qipvvUkk6xtRRlbzLjeSMt9cmoaE4njGqt+H6i
nIkiN4QM4fG7idkKn5Os+wbcKV83A8R7yvlA/ctMaVhW5no3Yzsqb02aAQkS9Wn0xHMgfkJbBKg1
V6PlEenLk08tFlVcsmlN30rEvoX0h8VqQL6oir5qTIav2kB5g6ERLjvq3sSjqs2ddQP5IFxZUd9t
8O/mOj8u9MoVuPyFbT42/D7o3tsYIwg1gNBbIRbxo3gMw66ldFXw1JmNxPoSUbas/BDWYXrS4COz
/ZGKUrm41DYzXp4veVayrnZ1DkmClV33tWI2bkKbcgTFhYB9dMRIrQmF6mmD3Hs2yhk0odL7+R7c
BjI/xP3p2rC33HcazvhV287zN9NJvQMJXW2T9XnqrDyMgeGK1N64EQPYeK914gi0DM6IsVng+HHN
LnM1gePqJGhBWr8DfU0cMPvmuuMV60UW+zbb1oDoo1tgPUvzs+vm0cXM3dHnYYALpl16M95X1L9P
tn9xsrU4Vv7pyfZj9xr9aIn4/gV/nGt1+UG3gTNBd6a+GZPsP8IwUC4/AArk8IppAsCgYIPw/Vwr
zA+6wYMX8eQfB1rLBdKuw2e3DdcG7I6R4v//v592I+0v//3j7uS9fffHByT3mwVBCByXBaeZNM7P
D0iWCfbdylO3jPK1GYFupLljmzujfMpzwt4AWtIZy1FYnVAC26+GUsSfYwfPf00Kq6nH8sThYbqQ
TsfKHRsTpydlX/LKaAkMU1zFRpxT2aj3A2PQ3BHBeNVcUmi1D/2YkqWPUTDJvNr3OfY4JxyHmr1M
Fmh3MhcDvcRN0tCiwmi69L5Zlavifk99CyPMQ+jiuYc7407MZYA51cNDNfAmP2hF6XJQFpFJ708y
NvOJ91JYiFzBhO1Xss0Kq8UFkJshAAYxq+7a5Ayr+zGLiadj/KpdE8bxWDjBI6ep6JE+FwuuBmzU
DEPDlxFdC+SAaKAk51Fyj+x87qamPqDwh9uoDPpXCq45Urc50QSoSwwn0Zd9CcQoc6mgmqk9OiY4
iIm8ryARI1eNoz7UJ9OlD8rwE1pHzlGYDtqBVX9kBJNqoXrQlNHPOtaVNAm3gahs4vUmg69+NwR6
2dV7Qw8DKhlXOY+6dLo6mR43t9XE7J5PgRkfGdfD3ytC0cWd+osVgS3xok3855aG82/j/9z+NsVv
5Y/rwvcv+8e6YHE7C8gl0tIdCOXcf99DciDIWDIskJHc4xKCMn/0fV14XwOgucqFRAqZdllN/gjN
GR8sEzcCjybpvgfv/pvl4VcWNxQ0Xt5G87IB8UmofT8vD3UisnkMi+SmMftYvcI3t1vCm24nNjpz
7UJyZzdjovaxVba5RhAb7gAKke0W+5Lk944JiPraMErKfSBjNnwoNcynqXDc3+omc9cxdRPNXO+L
DsIJJ+40GxU3MNQcDOqroTeBX30lBYpQrquQhRJK1pxE8g4CQ+feD2U/GNamcqCKqAergKTjOyP2
n5fM4l5Wq1loWK4a7JFFfoxBmMGydYlsDLnNuY8+KDudohtnKOrKe4i4+coRtjjd2+YGMFqHgsag
McfZgY5vbLjjrUz/FNduN/e7oho8M/fJCBf6KUY+IgKg12+R1jZbt64UJ6KscP1ZjQlf6iht/lwV
TMd+73X/+5H8Fzeggc0YffY/34CHLIsLWGM/3n7fv+gPp6L7gcCLSd2GTW5Nsof9x+0njQ/2wvpd
sM/ye4XKPx/LpEghEsLGdfkmlif2H7ef80E6LrURRE0Rm3mq/je3H/f/z6cWyhmoYUHWJi3rMgB+
1wV/EA9iJxbUs7XRcarJ3a3GqrRXNvGXU1W7WrtSkyGgumF7rtIaoWSBS+L7HzybtEXLJnHfGNRv
+V6ZOcd5dkWwyYZyHle0h033ZHlysTMSjIT3qUwaGtBYqXwAKxSYKVrvcRTjpbshAubVqwyvjbnq
qeEitglH9EYmjlsuu+/5wBmpE6siKeVmzjhhboalmMO3loZpjtwV3m5PQ+dKlPv2HuHChgZEY9at
YhVVWdf6yoM3tjaY2Zk30uyidStz53ZEFl3lQ39tgV9t3RZe70pRFWmtbceIH6okUfdTpHfnhkKk
65JHLDbuVGowS7wptDEO6SG17El1zShngg4z1huOc4pSaUcezaqJT0bksZ8xG8hFZVxu7YLUntlG
ABy60UyN9cTEeCs61/yUScz6sdVkD4YJalFG4nMIM+fOLpVcY4S2Lr2ZUJBUKrGODPMSOTMnWla6
jaawxU8V024LB8PZKsarrY+tb2dUjq2qyY3eQMhUWKYACuL5Tk9GnsOMcab6imXL5W2P4vC27Vtx
HqPloNj1c3+jj5vaLMtzwLD/WzI4cjvQQLBtbc4jYeO2V9ORuJ7wsxsBJBVHi+qV0/ILHI1Pkkzw
qnHzwq8y+ziMzGVdjIAP7LasqzXJ6cRma7wAWIOglUZfEhpKXu3SGddzOJ0y3VZrG8DHCjVFkNip
NNbiKX/ImjT3izRrz6aVRigUwE8CmdIQnHRnbUp7n17F9iM+8IAokTmdFZi7dQXBcmPYfKcatJr1
Ygt9nFmn81Xm1azfSVFK/tkkIVFVVcbJimr9yJHra8bfvwt7kd2j30ClIPEsry4gv3sPFsAK2S0J
cJjP81loVucn1YBqDTNnN9NOe9VNrmjX6bsbMxXipJBvqgYLocFlf1vSofMyNCSjNhwU6dpMImMN
uC1DTrEGsa7TdNz1SRButbo/ORhpjzTa3w4Dne4rFAxIYfQ5+x4Na3uryAYOuVyDkAlhu/UBMWPU
tCcNQwsJpqtHInYbuCcxQKcgZEROqk8ukdXcaYweDPTStczE1aj1bFN41Vtbue5iLH5SC14creZz
7jbZFiJDp/w8Nk+2oF6ZUOApU18pqWU2jxMGgpn+SfSSqCAW0n01Dtrt6EmsXD1d9IkuXlgM2zuz
yqctD7GSZqbQPqi6FU8CBhYPb7dd5wHSjkZ8x0m0o0s9B+3z5gscpXrTu3mzQ80zIa8c5y6+6XLq
+OqO6Dgp2iJoUYccuSIuktPUkeRseat4m47JRGUrxjEvsLL7yrPDA7BxaINzah2oeZju8ymbd0WH
0wcEVENB6OTcimaAQYM5pFEiSNc0Ko/3yHJPRAG1vVYrrFLCiJaNQ9mKUSediM4k17XRmAmVdqOV
30DBOOeN94VTkL1xnFk+JoQIt7T9pDDS4uCiLC++IwnzWohKHOwaT80cG69ONdjU9DR697lt+JHh
5lXrpsrMU5gV+RbSOZe0HuIby0UGhDDKLopldxVNrHd0e0HjcQv1ee4lFOaA9Zk0UHcTq0l9lmrC
2ZPHev1QN0QqdaYUoVfkdyXRYTihMuurC6YVUp3VGAFMN4WLKcYeOO3PSXnA0Qm3DKmabpSqkNcu
cb/heR390IRCMkYeljDKFwhoYWP0mIsVOY3mIs77ib7Q3qajvYodbWvMcAs9s8u3KsK9xuIOjnXq
n6JMtYbYK6SrI9ueqOfZotVvqQZqimFjAvwWr7fp3KWNV5K5Lydvn/ZeMt9MonHuJx7YD7TGcYuk
I5feoSGy/9wacXOM5ly1NOtZ9peOqz/2DXouIt/QAlfA06vcaw1O1VwHpG+OJU6AI84ibdvJpAj3
Qd0dFNTduyjrswfId5a7agb4r1EacOHKeYxeoE63m8EU+d6Iw+h1OavLFZBK4Puh6sRNaDUG6BZR
4fueRzp8hsrj/rCGAbfsNJMcYmn/VqRCp8VLmONtN7TtBQ201sG9KfySCE4VtiybuecKdn3/SQeJ
9Fo3evzCM5lwPNCSW0Jt+R0+IflN59wGFjQLLFSvdPikpdl8znX3gBSf/ZbnlvPVLqSNFsSEqsch
NhCAgvB6sMvhkLPa+i37B7VmUubREci5j91qEnlP/aDsm8xps69aoifEsthG0+BaxeN9UAvnieeI
3FTTTDZPKVOjd9atAqzvqPyHJp6mtzSOpWAxCkk/psWwkOqJJuUq0i6YOlqaVay8eQEimp6tjFkA
V3EnXPyA+QwVo06/CrRQpEbwQW02mn48F8EhNdKcMG7EzYrxpr6bawtyDXK5p1YmVrV8o0yJJzmL
xhd7VNi2vaj+zBR+2Ba44LCchzKkcaem/paxyXCBO4zybbWN9iZ01d4piFU0B8Ck2/cuAEcceWP1
WYYTUrkiT3GoDMaL6yROasR51OhPNVXwYuWVVndNBGQIzDhWTRK1yg7cczBuelNnFKbEVK/4zuXG
chv9JZBdIDZFrKfT2hg0e9dnIr4GsmIsZpGiKPq+gEdAu+6O5TnxVrYx5L6Vmu6NGrv6aESds3Yq
oa/V0FPEanLBuVk1czRpxKbWCbsCiew2wI2lwO9b3Rt9261blO2bTBvwqrnEudaTm1SH1hXUjudZ
0bzQmrxMvsO+NZhvteVzqkBDbDpYSTVAxnr+DZKzdRvoY7W2TOeLCCP50WVY/ErKpNxaEdHvNUt8
kK/UkBIkBL3MimhPSj/Eru7eylm4nwe7ycizVqTvzdBeqrktZX1xxyY6dYFhPZHbIJ3v5dbiim7I
WlPzW+7h9PDbdO5Tbw9jTF2RYurBnxh6vA5ygKKGx/tzKILu3pbka/1kMvWXfmYDuQn1seda0tt+
BdTC+Cprs042QU5H5pF0WvBMJK34iBvBabcWqv6pb3u1GxJNAynXtDhUoeAekjC96HMf4713z6Ea
gLTkgw9PbkMUOvIL1cl70Un93JMIxLKeU39sAxW5g8WlrTwjdHfMMJZW92YQX2h1MukwQCp+wg3p
0j2Sj6TVDM0yKGdtOfjKLAzPbWfOmxFJ+mAmFPvOwu7Wc2Vl217X+xtDizZO3+S/RYnZwxjvORQ7
CWVXqwF4wTrlUPsxtN3gi4PMux1KHZgvn+a8hIJFfxuZU4rtwkpJsQc28b+4CeHohqlIvlYER4tV
s/xSaVHG0mKNtyUzjk9ZMGWPsa1HOz22Kac2gv6mqSaJsZwqs1Pa5JJaVfaI+RgePWCX7bZg0LX3
YokwR4VW+tyC68FZEozoaFFsk4qvKtPZ1ME8n1LNqI4jLp4bfsLsxsQU/hbMcQfXpesQ0OphG0qr
ONRZSONsOn+qGEP3vmEazWto1e7FqmvtN6Sz5m+Z6nfy0l+ckgGQGX96Sn4oKS7/n/UrRK7XH0/K
37/w+0lZOh9wVhi0xUkLfOaPJ2UUVQRsQeu8zSmVatF/ClXC/gAhmAYSInCL3fGfMjbSNu4pIn5s
jHF2ERL8bw7KmLl+PihjBkJW11HL8TSaizb+s1AldebQQVBrJyFIeSBo5ZtZNPYhz+Z0g7+3Xeu4
Zq9W5gw7j5KpjcEWGKO/F63DtBwfVerkJ6tFzjHqji1LrA9sbJOk8AtGXb7rFNEm7cJrWFl7kVIy
F4gm86mrfhr79AJ4DArfGHq+lprRCsYvuWcesiuZcw5oBfGvVc2U86EruIm4W1CFrDA/i3FoHwtL
YtJFUlurvsm+6hpJEc/6mJQJendXs9j397TU84gqHXtXj7bAaZP0+TUG8XEsK68+KTcaOp6Mebob
4JOuk6yYeNY4nBHCKd8kRMKPognktmt7C55nuUAveTvPjYPJdjUKQhQDSEueLFNtRUvoSu1nvdE3
eiWgy9m1faM33j7LGCDqhovTRxq3eWqcwEvklEhLrMFeZ27SKFWruvaCbadXuc8FU24YvVJcFqaU
Noy1Txt04/Nh5Sckg3Tr2pp7zJPE8YOSB0/PbnY7mTyy91NhGbZvtxNg/Gx+qO2CBL6Knohumh/H
3HYYibrDS2GUJq62Wq51ZZXBuWqUqW+yMorxmNSUVuunoQAg+lA0VopCFxP70N6gwRq03JRZr83b
HtwkDMuibGFgQXAgX8H+pVt1KC3X2iq8M/sOqrZHr2Zj16ihHne52TZ7vMfTjiM0UbmYfo67KS86
hhud3kFr13KwpN7cWsOK6h/7xk0b3cc8Eacb3D841eCFkeBKqF88IxBYlbbW8mkK511Z4bJrbssk
i1m7saQzerVJdwyty3B1IMxacPAqOqd5Kc3AZtbIUJfqQPqetYSaaBIaCTu9Ls1JnpQeOG3LnYdh
3ErqvPt5J2aczVfZKlM5HxnMtPqDNigcZhtNJrgYebBzHCAnATtrYpaQOiXzlltKwkkzbOs2gMVp
ZLrxqfSq6Z7p+cyOISlqc2vGRlL6TCqmNaUzMvC1vm3lJlaD9hSldpyuzdmF8IGJYiLigndmVcj6
q83kdV6X1CNdOcRj7WIlIRIDJzF6CuyCyaaWKBOGMgnBu3kYnWGbae4Y+H0dlcXKIKt4JHoa7QFR
ari3KanzeaqrhyaIGK9YTJM/pTH6zcquHetzHQkiI2Ee3tWRqu8AHXsbWgIq34kMXPJ8A/otMRJG
82HNcQZk6j5WRXVx2qZ4Ik4JrMKtKYBfkY9rCV9JarHNJIG1xlQX5wjbzpXddi7ycjchamlkcVe6
Ubh85DP8nsS2OrUyhsjcRPAZr/3gFhcMVeEOfxXmzQHmfDKEj0FWTacqq4C91ViIXv6e2/xf5jYo
wKAE/0w2Lr7Gr8VPz8LvX/OHaiw+uHhIMDvgKv79qfYH2ND7AL8CSYLhzKL+Mpz9Y2YjjA8uYxya
oF3bwMa8TGL/EI3dD5B6mbXwLPxda/5vnoVikZ9/MItiDjXw3fOvSTqPHM/8teC6R76M52jSFm7y
RKIny17tBA8gmF6d6veIByG9DK3C6ddjtyBrh1vPgQx7OzuBmHyD0t4NKNrhKwPW/G4G5PVZ6glY
5lCmEI75qnw9lQGbOpaiz7mNXZOxt3kH6saBSYhkeTsbwGb8NMmha7Qyc8CreQ8uDNBrQ+T+Th9e
87JhE4nS+tRBSnop03jQ/HnI8DmlejW9tlmXTxTRarhjNCuEGDjJgvXX6sjSM/Gp0y8R21pu7yYn
P6+AxMPxUKSQuUPZEmeyv10IiERbICiJtd2YHv2jrIdorESuyLN5ibWr5QLVp1U6urGg8HkbTnAx
oL+CtDYrWVq+LdzxlxLv5Llvle73VtaeQtmOb3RVFC8YwQjUcLpXp3hM63tVJeErVmCk4sQsVzgj
QcPlrC09Pr8p9sbzDJf6YluqhGzoTTUE1nx0dwzK07Nn5dM9PbFE71W3Vm15cN2RORgVyj6RP1yu
ghy0GbsXeGiEqRIrf5vazECfyL2LYxvVAUhz90C4t4Xb3rYbXJzWPpgrg+iFlhZHuwvddaLm/kTO
huH5TNHvcZgzGLN6CFZ9Fdu1e+PpuUn8RFPZk5VX/QPPKKSF3qB3g3og4zmmG/C506rpUI02YHLy
5TfjzPweQ61DQaAS/jgF880cGv2nbAnBsRXIm5sxaOpT5FFpIhs502KkOi1dt5mICBsV2aaqZZGs
i1HWrOqGO9yi7zYGOT/CPvU7/wUMt70L4xxcmUmdxOcEg1G2cHR5XqS1FV4KTxbGHgtEfI2q1PrE
sywmF23zahisARJA4dny3BAnw0xQzaK+jPZow+QUFWAksxvq/aiM4RqSIvId8OEvWhE2R0vP5W/M
Ot1m6+h5yLncGr14QyhdXpmEzCO22bDUnpPQci6RiJEQqRHWiF62c/omqtKSqPiQvkJ9ztcSX7lf
5xiU+BxTEF5tdHGnpL1tDRUdXVxxcmOUY30TBYUgJqBCdlleQvWmVetLcUZJ3rHmz40yFLc1Ybxy
E5V5dU4KF30doYm7/HkqjETA8A6lFLw9E93jANqGWOf/ysIIO/aMclCJc21LOenZTcFYqMDNDAUT
s8ZIRCoYoLJf1ThY6hjR1LevR+dieAkajnBnn9Q/Exmcyw8TPsBh00599hIEksdbFiAnuL2Q0A8q
s/SLvLUf+t4GtKNio/M7oWrIXrF+FujNN50N6E7AUV+1ZQuiLqUQSgZDuiHSy6XI/XIN2olxUAz5
7uP0rt+i3OvJxY1h1Mm1qFC3H8Tcgp3MUPUL+2watbYf++ZJoCnda6m3dEktkrGFdjwQ0r0tFzk5
X4TlbJGYyQGqe7ZMJnZ6BGiCmOHBU212PzZWc82+C9WAWy2Zcargg7TQs2HFxyujjs55wv2xSN46
2veQHNmW8S9ZWk3lI/K4RCd3FsHcRjlPEqY69H2sSDi0/DOLvL4I7ZGwBM1hiO/GIsPjAWjvYpR5
uUj0hCHlplxk+2Q2gn24rNYKTb9YxP1gkflTpu3tcOpm3sOg00/J+0TAkKm+1dvo4/Q+LmBu4LmK
wwGTBLBn2YYB2FVfhgwB0wZ00DtnTJJLxxwCZta0MtXJXQYUuV4+DDFkhHxyOxKyTDKolxjW5vt4
o58qb+9G8JvUMv3ofx+EMBKpY6M9NlZ76pZpiaIveWcuExSjJRgO/NtFP5VpdAR4IGJ+vGp+iaa2
vZXTKLYO4BCTy+jkLHMaPWzMFSckZjcUAO00u9AWAzdXkyrns3of97QloQFvmQHVSsmrNTcph7y4
y+7TZVrkyOarW0b6kTCmcZpzWW+0dvRyTjkTXao4ARg7eVx+j8QqwjV8G1rCl/nUvEyqQidUZwLc
EFUGo/k4p2HvaxijQNDF93ZDHhoSX+TjkWwZLTALa/IsfxiyILi3l0mZWGZmNhCKtcXHJBHj1uky
Wcum4DVaZm3mMnUzl/lbvEzinGUmB6479zsLBMcyr5t6Lh2abz/ZyyzPXqZ6UTLRWO7wnZqp+zai
tV093JS0Xk5qS1BHQvx2s28OW/czjsN2mR6OHV4G+qyYKbLGaDdJFzNorKO8vpJdzdb1Moe0lomk
vcwm5dRGb+J9YCnLtvXdtL9yEWZnWerZhfoDcCrLrDNepp6GoV9cSIHrZf53yJfZaOZZcq31y7x0
ND7bQ4NgZGjpQ75MVe1lvtqVgvz8+9CV5XAZwA6643OuKrbqfUCLWWZnLDNbjVnn0W5HBdIyng5O
xyMSm5pz0DL0gfXf++T/yz4Z1XkpOf7P9oprVH797X/gXb8WX38Ujr5/4ffNsmt8IJZpGlgLv1si
/mGx4I/w94E0eLdeLOLQPw0WfAWbbgfFCU/Uso3+vldmG00DpE41IamK/8r6aOm/aEacA0jf6gI6
k2Czzhj9Z82obgAU5ZI4t+bS4Zzg6H3gYuziTejBC45N+3mEyMgepIrZ/FTPWWhrB32EbVH2ZJnz
OeIp2Ir8Xg55ccl6/ckOdPbHALCTbSlI12AVtA6NAXJVkNfeUvkxrmjMOVfLOJiB3CWZxuZVWvmt
M2a39HDtAFME666xAcqgcayyoafnoom/Ye+OzzkWFh+eH5TloqxZBz2M47aJsKLPp1LqF8dorZVs
xld6XBbCHo09AjhQ08XfWrA+69yi7c0tvbNrTbsxdivaSyhcTmExsOMJJpvOkrhnAJre9mq+iESd
9JC/1SQaW+T4VVUd5fDwBWyc09lgvJWu81yrdlviW2epi6xPDJj2ceM5KwR7nlVtACxdA5nTWc/p
kL26OoxhenCuBIGwixuXLieSxVT9W1IVmt+GXbK1MjgpVg4sGzY6Yvg4PIbWePWKyQGz6zCjyuTb
GKRyZ0RiH7Lzps+lPMzYgXxtJPCFf9YXdnw0o970p3R6dJg4jJV4jiwqV6bstamTV2qszy4TdodN
NftkfqBRxN/KTl0E4sJWWd22lhVzUjJys4BgO3XY4hHAk5VZ8kaZEbCFYCkzQJCMNnEqO5/jVHnq
6H/fhNryXkb5K+NoUCKL16wbYTAur1UJ/gKUhsvY6pfOxEUQ4VD1CK1pg36qXEYvQxp9s/CvbaiW
uE3T6WTy4ey9UjrAXJdIm1BPc9AFBOYcjCLSAnbY8kLAApN1JMV804B2KdX81IiabI09Pea6vZ5U
MfpF1HRr6vdeiwFmdGZOb145nwaA2n4SNfE5rd3nmMggatcd7S0Ghjpjq8xuP2P42NfT8DjDZonj
quNCtfZhzmek6R57tg4RsodD5pQqYrbP5ykxUWLN5UqYoFKuajOH8NPqT0VovEmLzpecpBP6WHZk
t/9YN/2jmLJvOYdNX3eYcfX59GgFRDDTGGJLZi4GI3wsHFHjmFwK77tROGe2t8+wCJOtI+xzZQt3
y9Hx0eLnZOTOcG20HI4sjdrTxcthkgBTZWrV5yTQpO/SG7ZutGCA8clll01h4KuaTjMlu2Ffu2qA
wGIPB2II3oHuZu0ujVS2WXpv7gqtUtBEsuGYR3Xrm1pmvXVG+1nxdLsxvLRiHDmVcS3WbEGqZC3z
GsZmOo+vgUsMDROyyck4EXVBvDJ4yifYvhB8WmwBuUktVRQAgU8/Nxad9unENi2CXA3rc111qtnU
YsKR0tBBjMN4apjWlHQsOm59zrToUkCR24yaeCo1I+Sgb9ubobdfp0I1b0VBoIyZarSBM7ZiK0iL
0CwdZjR5vyamtWCoMTiEBZf/nJhvpVFWuFJytAOQ+c5kGls2BnxubLhWPeUylHsZ+noyhXeHY6vf
MRNng5S6z67mnHuzHg/B0HzTxuYknPSvSHu/qh1IJuyCUVQWYCCj8Z9XcebRGODGtNyLYYn/9nXn
E/08c44l22s4fxEk4snzs7bCq0keaBZeWAYrzi+GWCnGvnAU7taQW31dGClAIgRzx2JB/+Fh+m+C
gwxpfn0ly1qaL9DhwZm8P71+sP6NrjtZSVCVe7NLX2XAargsx4kxKt9qOSQd+J2+/fPXJCf/r6/p
8QDHEYm52P3lvQytQkYem8S96uxoY7fDI/4NskaW2I/a0hjDz0vh0alpWd3+/KWtJYr3QxKBpzFJ
BPaoCGTQ3vBV8uc//LxVGo5zorxiT5zNWidk73DpOExLWk4xZZLudTm9jRRyYBgaKIsAE7NuUISA
BMGrcgIu1/nUhwNPXVLZUlLTl/TNhm6l0+iwfHuOWfkpIJO6TG4Lp9nm9nCd8vBJt6N87Uzi3HuZ
BsmolDsbYM5LaGMFFEs5zp//pP/mEgJKiQmIvahum+95yx9+UDOLJVFYUewjs92KUr/ocr7kMznA
v3idf/eOCvgKTAcYviHW//yO0gLtTfwh1yresUM7TRdlxBi3MxbhwpFQ5730tguN/D4b1IWxRX4f
hTxDxRx+qwfW5WWrQqtmusLwSDq8DeAy9o/UO585QO8ij+XeruLcD8n97+rJnJ5D21Q7AoCQ3GMV
n3q9aa90IT1NzVItYMbi2MUevi+no1miiL8FMQwr7IJ8ipNX7ghyfAvK+ckL++3ctTy8GbdFyt5H
CAWUtnPsAg59SnFR+mY/XyAxWivT5N+Wnva5sVNFWRN7rD9/I5er/tcrU6DnggEDIgRL4uf3cXa1
ssY+WOznEUoh24mJlc1m5L3SRmv/56/FDvtfXgtzseDTArRum8uf/3BxNAiYLiy7Ym+nw1W08REm
/F8smO930i8/j4sci3DMrxLV8+fXiKMaKhplL/tSDjT5xZNJA9gMDMZ8i2eLhltoqKkp9lIzz2Mg
o41bZEdtCj4Bgvvi4ZVfkSJpVh5tcVQM8hCPaA5dVSq/NYzw2+yM1oZWxXQPqokKatsaV70+tzdk
EDdwjz96VCngQ/XCA8w+5Wc2+xbDwJ1Zy7ramg0DVJpyzR16AqXbZvzNpuOS3qj0diA3nNqhIuAH
mkEZVL8gefrFgise9O5aFiZEKGs+/cVn8m/uWD4LidWbdRj8gvnzG1aYVQc/Oy/2RsZBYSD748cd
LHxTS/mZqXjDemEntMp5Z+aSULJaLJIz0nmXcC0HKTxFp+i3Y7A4rx0yROAPn8ekstYe5CqI6s45
oBjQB5ZwjqSZoFWzElUl9Rxuop50c3yjiWwFUvZhstgd4sQgfaxNuzTSKVPhbaqoo9lZ2biT1XgN
bQfnXcP1KchYr1pnGKGViwTrZiZ3pj0/yaoZfk8h/JQs+zFJ9m9uEp4Zy//ADHB6++U9GsPazbpx
KPajV6zZ4kwr6m52oIF6eJXhX3wihrHEdX+5hj2ewixrZLu9f7kna4HryBR9sW/MtthQWlSuvSA5
AsDeS4PPhxwHlSTARLGws0wxYH6Ow+zWSdkA9mWASF3Iyo/zAVnOYX5JoJdWMuV9aVPjhtaSu0zm
rR9JdvuUT1hrq2rfkPeuU6ZOBCx5GHOZhVb6CmqRXSoet2SGEtcXDMNL02e7uhm6xNviyD+/Hy9n
McG/AH3hyyY9OhqtKwkG3G0V9BSczV10mKj6ez8EBcUEIrZLy2PRj49xx0HSW3SmueaoZ8/jY9OF
pKsXe4E1PGJSv9RafATAhUnNhXlRpGq9/EbDboOAu1yQVT9sDdG0m+U2aif7TFXUoxMuBwjCpdxP
leZnNbslPUhupzqFklHxtxvNfkaS5RbrgvoGXudbAypz7HmDGU7fYrjMybKxFReZeE6i4ToSi/St
kupR4jYaEuicQzGGMs/xp8uOHIp3/8vemTTHrVxZ+K909B4OzAkselMjqorzKGmDICUK85wYf31/
oN/rIItlsuXedoTtCNtPyipUIod7z/kO+mHa5UApsBhPD3Yvz1PN+hE2fb5PNOuiazrUafWIdLzf
AkqMtqQUFAeQQBepNL/pdfTVfvya/PVhLgnUc/g9mFGzqeTtmpuORlzBDsi8Row/86a7aVT2PcqX
XO94refz1+tVu0D0gN6Uk97rO5+HckOfpScvkz9WZQaZs3m8RjS3cmbVPnS8oFrSnsvX7tCOHj4O
hQsaoGIsh9G6Ii30Z6Wk7nlZuyjVAvZFOYXuWc5nX9LDvtAV1phYjg+dwXFLrQ26SGrULodAEljj
cLJG362zH4ZEZRA1wDFbxO2d7FhBax1Lo8OV1CXvCnnxjWm10N5TAPBRnQCN66dDFvZ3sY/ROdOU
iaLk+NNuIDjWpbwR3A4QwdgXHZsIl8z2zsDyOZ/mpfh7f/1/A9MX0iyO2LPh519X2M6fovzlbWnt
rz/xV2nNxmwEcMu0CfDBqMQG9ba0prJ3mJiK//YP/11bw/LErQIiCau0A6mfU+PftTW8iBbtafhb
mqtiBxZ/0of+sGnOQTHosmZiE/yZuZb49q0a4TEgc1AmYkzWo7u2xnMnvnzzNK7++Yq+3XM+DjEr
0pCru+zLXBqOhgCtkQLLcieP4APEpQ4wTg6tNo/0f575vzHK/CneHsl8d6Awxigi/9EoP4rhRVrL
/9sQR/cuERVmXnQMAURAqNdwuarp+fMhPu7PiKeB8HGKAYLx4WpnD3BzO3i+Xm86ZB0pLomgZXGd
ZdWWlM5s+/loH34ZmEOq4CgA9saijnz0y4jBGmBGi9obC2xYasN/RJkgAjAo09WfD6XpsxkWh5hF
Vu77n0dt7JKbh8YXC53gbqCaQgJJp52r8ssr+QdhBd8KQx6iD9N1GfHoZyKFlrQig6HyOm/PklQm
nl1TqvKHCc4pSrtt0XE6/fPvR/4RKAn2OB1Zx/vvh6FP0xV6ut6IGWdBdDSNltrBg6fwH58P9fH6
z3UAyQieYqruiDzfD5UYSjmVpVJ7KP0NjgY+m4BSkZeT6OpATktdXZUjmUvo8cJzAmaHL8afZ8X7
jZjxkc6Y7szF1NWjWTMGZhmqSdB4cHCHtZ3zBe2qv//8S85f4ngQAwGpg6uSJfK46j9olHilq9ee
lJW2FX3YR4tAGP5FqhNhO43oITssUusCZ8/m86FPzR8kOQhVAde52qvb881Kgr960BBs1x71qnFd
GogxaOThGBCKOtvKAnrDY4ie+vNhYX19fPs1qIl8WTJXTU7MR0+2oYcBbKCqPUvJ67lqj3cwUuGw
iZ5Vx/LR5SBw8Pdq2vp7o1HbzdAY/ATxoG3BjvdbgML1gx6Si4aZAxhxjfkam1NnrcJu6M9cMrs2
Bc6wlSGp0Gi4mm4j7HUENhAThLrW4T4QC/KN7U5gGSp/0HtG0eA0KHK0zmuxCcJagwqvIBdeJQrx
x2kJQymp2mJhE5F4sOs23oVqKg6qM9nflUzkJGBaY3iuEjl/SIP51KSCwiVGggb4LGFE8oAPCtNB
e0Zk8XSPBD1dQZrh6C2qnzaklL0fkVOGN7VbNYAXtqbenEEUlvfUSc3r3m+1rdKKdF0Ydbwzszko
sNXMTZOwhoqh1M4dNUFfC6ILktPQ3RgCcqxJiuuZoJi1LiZHhw+JZercR4zlFTHLblC04bUfd/1P
VyI3IGqgbZa2PzANupjxoull5k58C0t6xSugUtO9DfGCtPtJe6nrgdqH1ZjytzIXgPHkpfLB1efc
8IEIteuuU/mL5gdsmdp5MVowqjNCLpf2aNmrrPQlziDf4Mo6Bx+hrqS9w+eDfE4TdtmmsXIRB+aL
bBRcV6Nsf8XTcG9O+ouLFYn4A5KkzVaJvklY6jt1rHgkdciLlPfmC5CM2l2EhPd4ccWKEaclP4Ll
Y3RsVf6+bOBzxINI9plrNQ/RPPXToRKHDAvGeZn1/tqwam3bNn14TfYUFPDc6FZuXdYbyHTqtqDW
g4iT7IelSyTa2sGbEkPedAKQlabukanNAPpEl6yK5RbfcuLFVtzdonhub2mt8Q/XbsPEQB8A7BtJ
G6iRZI8LnNY8BPh1Ry/h0nF5nItqDlrN6lJfITgXF7J343gX63YGkavCQDega0CCWvvaDe2h4HoM
IvU2zttkWCD8sC7hscXbMAjULTcv/9nH4I17SVf8C713Md0RmyHahanlXNZ937yE60XOb0B6AM4s
c4+BqTqrFJBIWjZ1O5sstStfMZRtU4bGlSBc7qw3rQc/q4D6wYRCP4IL0GvDytZ3VQ33vm2HdOAq
GvrPEpXHgtpAIVHDtsqWBo3z24wT5zfmULlsUEAcanJ5nkOE9mvA3yaqKwxySCMktPzCnZ+Hryb2
iiz0Xyka4HjZdLQkQkAqnoZqySOdTz/D9GLeqfTi1/7oIMMg7E/bUoKst1Zv9t8c3e9+5BA3r9Ws
Ur0uov+Bf32gniKizlhklNx/akkj91XWZhf46PqnGnTfed4G7iU8K+MudSWXyabBuIMn3jr0OmGw
VN+nTVDWzhX2mfxpDK3+uh5BNA5xKC+GpqIdM4jxHJm4dUiI4NpqlQVUcpT2bYnJc0V+1eRV5B10
S0sFprqotHnxSnUMSfWkgtpGBpWQdGjb1ioikXXT+b3624xsmS1C1Oa4NbsYIbPdeFjCGgDmWbNl
atBzQ6eJnK9strIgFXHVlLDqOVCa61Y1K6D8NtK0sKhgzOgZIs2gQ/jISxMC/HeFv9RFPu35tMGd
DmpqP5LSeLBifS6c+VG1jO1cRVGSxbgZuCxsCkodKyxM7s5q3GIjyfBd40VVtnWYwCnLbYM54cAF
RVqkyjWqn3qn1NSEF2HljBsfBBrVu9ancq6m7hJjH89hKDjg6CBprnIOAc99JSXLWJdck9TmbMNY
5brOKvAD2+C0LjohPIQfJA2p5APpBCUe9FzLt31BEPMCc2b5RPK29ixFDi8tdSP/N9xxcHIN8hyw
OfRU5n9cz23rFtdrvRsHSD2LyRL9JT2C4RLHIOUVB/Dzmjn8Kpakh6wFuAFfh4xIReLo0JAG3+Ip
bBZGKtXnJJHNoyBHeNVR8a8XZm0gFp8xkrg2Y0z/gX5j5oP/PTbD4qGLsmz7CsskyNRHVK6ps+gm
W/aVCqdzaCniFO0TTQ25c4QNXSdoY4siVKLO2zuJIWPdXbhS5fG9MhFrzY2oPw3duaZIfIyjVgxe
QVCDvnBKDZkAmiiIYA7Mo7jRBiJ9CoQtKzOeJk/CIKkX6gDKzSU3+1Yjw+WbbLrpOjIbfjpSKqCB
lQ6wtn6GME5ly7BR0vv7AUDhQqvbDpcn+ELMvX2PzZGf3jEAmxUCHmBLC+uXq/FPJ2ls32a1bR18
jT5IYDfNSq8IKOTtV5wtF9Ea47GSPPRu5G5zIKq3M4Rubc3wUkfKfBskLrXJebNrXK1ZKLEYrjCi
KGtDA3NWuAgUQp9agoFt+0nLKvzsJRMc4TFtdmb0kgqsXBO5kL8Qntju4LlDX0lI32UiBVd2qASU
VVsXPzf+Pdrp7jaqiXVyapq8krsoLehI94FWkBK9bAhP3Oq+MlzBeoPlp6jdC3YQ5T6bHa+0pGNt
5VDV+OfvlMjB/z2qfNjBNPqNapbahRWlyl3gJywyRjLu41Rv14o1RN/ztnGu4TlhlVdb69FoR/Ox
qxXzkXrZeMFOZW/CKlRWYxTh7ABG5QlQDOdToNQ3eA/ztV7nGVYQY7h4feqS1ORV0TjOpT6L9fKc
rBhiHw5WXWj0rMDN5fghlwUTcTOgIDuIKszXuRvLXTZKGDjISZdDrUKA8IU77lt9TC99jIs7wnpI
Nnmdy5OjTdfUgqn5UJw4TMinLhC/+OssFQFaK9SvC0CZyaVaxdkOU7P9zSWraitB6FmI6tgM4X/w
80/VdJ40BJvNQuRl0KNhWapjErIEatpNqETPdUL4EYvCuNNLP78U9TStosJCqjWCl30AwmAB6Jh6
UlVbFCSE7OBudWlFt4mILxHRKZvW0MmaaTPrEPewMzXRK2u/LgcyLRu2bryrEstEoRiLYcoE5hJo
qHhPCftaszd1O7cOqLj7ZlOe9zKFqgU1s7hriyHftCw4nIFy0Rw0U5dEHBKyW7d2R0xFOp2PPTZG
Ehf6jaFDp0WAnSt3zSufG9U3J2aTHmzasWyor/hNaZUEUTcR5UKnoydVlTNOVMvTB7VlOmXlxLHa
jbRnNTCh3hJmT1hVDyeSLmy7GCLQx4rZ+HskgHKNdUbfE6s0XUO1F3u7N8e1Q68dKarekTMxdtR1
M9fuBiRyBStdjqf8WrUH3nnFSFGZ+PyXO1OpAsQpftidtVKJMVgl5lVsIO5HoV35HsHU5jZSjWkX
O75NmTXazt/oUoQ0hEjzDi/Ao8LobKPsFqspcasOSTFTGSpb7vYS57U16j9GiuYoYvLq1kAjjFko
Ug6B31215SiQqUDV7GPlxamkoACdf4OTTLoFzvEzvgYBImrBymkFEJMAavfrIg30re9HHZnCvjyg
Pq1bCtOqWHNCDPflZCGEDEl/L4logReV/aRS+bOZrMtBJ6hbH/psPrdVOydEzCim6K4vwmlZO0pA
mhA6XAklFUMjmUg+1zs3cb4pOYY0GRsF2ATiflfkywULTGqSRGpJcJVV4hoQJd83R1rCqUq3sYyX
+flQ+udlHgaAj0nMsqOU3LrC6NrtDKj6EbSd5SWDlgK/aAeya5ypuC1NWwd/GahVg8IjPISxXV7l
eVJ+U4IECZo+Zt8bpWx/lp2wb3HZmsMqdcpkh6N/2uvkNcPzDFuPyFoIP0VQmVemU09XcWDXt2WA
tazLsL4vh6GmpT0RQjSIeo4SC8NtiuB+AxSOapyaRvsg1kZYlRIqTz1lB81VDG9KUsutV32B3Krc
OO2QJIcmf+Z4T/AZ1/FzzUVxvax1q7juqhgFC0q4/sqfxmInx9DdkqXbbKRDMoyeZTiSE3L65thf
fsXV4FvPJuFJPfHh03hpajK+zi1SSQGL1d/tmvPVYtBC/WKkbP09SUOxT5DRP/qjmNNm89Z4UOcd
0tbQoaihE+IQzNtDGDkmgR+NfMwlff9BVv0+tYLu0Ctj8lOaMRDqUOPHxQbrX3WizH5ljVCXna2Z
T00T4x50/VLsNTqeZ7XkBm4rXLCR95LntIwas12PijTvjVxk68S3yAJDgR5eFMr4knTC+aYXgvwk
d4K5E6TTxkJot4wJAaM3SfYd6LEshN2A8nhljzUrWZzGHhwauD82/NNVym67H7lVYEg3pgU9e8hN
ZBY1UXZHCAsafiygAav8gpqtQ5LfyKVYKx9rI6bhYKdUL1RTVO3K4mS8RSCW3RVJVpzJKdV3de1z
lAJeO/qBAWOldFpgNE2vZB7XJVt5IYIWPX6PUVZrbeeBuNsZyNQ6W24xPf3NyL9PDUWesSnCMKnr
+GnQjOI+rpLqW9lCLtqWikU0VOTTWNp2xSwDRrpPpLYi82vT0Pp8iS1x+JHUNqajFlbcvtPbl6B3
6ApT2T0bCDo5GJxsf+YgGcFOgZixleRiKroUupShpFuZiGrZ81Odgb/uwwVtYnlBITC4iDkMEV+Z
xs3acRD81AHBeU0d6ze8/78kfBIcpfgsF63Q0Qb5ctojXm6vEpUigxmkIcKExmDjEhpCssy/bkqj
eKYM9sMk5fmHOQ63E3YqcyPssFspea9t4SiwspeKAdxlRo24opfLMKxqkE5pQ/QaFAI7bNUNjktQ
K8x4T8FwvA1DW4AZwsmxIPZW7EKEz14c68GzNc5MPVbChWUowcYJBnHHVYf9BArBDx8+8KoM3Edz
MPuDWmr6lr+FePihkrdmZP4SqVNfdhS1noPJ70BA9Q4WLWOMz12wJ1sIRjwxLKTbKohhlCguD8Xw
xaPoQvMu6op6E7ezMZMm1KLPOVONISQpC6yFNEL9ijvIAwtycjmUk72vKhtGSy/tdZnm/lPhAgdN
696hTGjEF7O8jhQbhVuMXnO6JVsNw2/X5zf51CDb1BXqzZncSWfMrv1Isa9ERXCgHdv6hRZ2xm8t
yPNlEfflum6jYO/nYXuZWwD66FJatyapOHkwozyU9ntMkJofJs02Y7ldwywrV5Mc1Gvfb20v7cuW
yKOk2I6dkd5KVtxFO+Tl2nU7dVun7V3QoiUZhGrvjaBA8tDXP4jTEF4chOxYHASBpgjFywy3O+Mo
JxCHZvAcgirh/Fvkv1tJ6jEdvvLZqGKiOxwJ9mQRENX5XKhxrB40Wu8Hp/fjFdWSnsnW6Hetrgzj
UgE3515EKcyyZZFXFZY2ItmtTZVTRl46Ye1eINJL4Y6S9wSm0N2GUROsSkpYd7bevAwDQUzqxFGl
royaQMb+p7C4NVgp7nUOVVySqg7yISF2uyxytTXXCU/R9XjP+299I0HqIUM0i+ajCDxOhemKcsfP
hmyEFb4E8HEx++vY91472E+CK8gAvceq1WvOUCQbCspESutoP0037Q9mYRlruwJVrCZ5fQl81Otc
xf8d2oZ1ZamKft0M7u9qMJUHgrOaezjtdbiymqKKECoPPhok7ORKbhVb9F3tWo+qfGXLAAcH0P0v
ohA+VkF1uk4qGzQlbt3WZsHUm/qr0bh2ISLqr6KKUZxm3b0NIdkLbG63LkqLf6NyD90AQCBuT0yZ
R5KIoK5UTSGX0xONtO6glmy5AQxwMoT6RbtF+yhl55vNciGO4XRcjsWC7jT9VdS2p7b/2bwW6Ue/
/TVIivQKDkGskDY0TmdSn0I4HZ5EGvpvVO8xsIJ0APkwa/ffP91EGBJWqFp7hgjMa6JoKekF1Ek/
L2af6izxE841bOiK+jGw2IRF1ZoZPZjXdkiHo2gJ4GZYaCbpe58PdaodYaogz1CZGLQY54/yZrok
pLZD6+3pLPVVutL74gcpMj/+b2McdXegp+g2bysptLrEfltvTSf7J7L7XypzTk4O5h+6HKYiyUlH
+jXXjZ2+1mXtlWxg50Gr6nu9yKmWd330LVRotVR5N7sKqbXCflR3cNi+au18fPXwX+CZhhKC3+OD
rs20SnxwBWkqgYY7TxbSXvZaUsEziqtdUrr56k+fK+Oh2SNJ3NI1cfzuVZytnLE0Ki/LB1Ype7zG
mSa+WE8+zkWDHjoOMOo7M0T06AV3A4z9WJorL5LIc5oSFQZphmcipqD5+dc5MRJfwrGIcNQsA83F
+6noNqR1j6NTeCxtKNCU5oBN+a6s44fPxznxMyG91VWEqXOb2Jw7WG+mvF1mieHWovCmSF3X6ZOC
+jdO8mVE+MjnI+kfm40kIbwZ6mi54KJqw3BiqLZzqd7lJoCxXvzTktquqy6f7kcwLltM9X69qkzp
rNS68r/DaVcQysDHimkBbfWGuzSKYapgmTkle8uJy700cL8HfTid+ymHQQT2Bl4SSsYcriSWBzzS
e9GRNdEXLWWssbVxr1B2WPR2NH3xRY+TJxA208qkuI/rhEAAdOPvnyl6aYWg9JZn2oTyESKMeqF1
zs1o29FTNrUE96YpTZTU/14PSbAR2KVpXNm7OZ4ysmjPaFWZIHe9z3xOR9IGVlVkALEc9O3cLhGI
Vusm6Sk6RFDvCNWGzUhIQQcATxd7JVZQDAFuRt009SspHX3JOPGKe7w4S0y0DHECqWNgvV65QY/y
CHoHfuXU5WnpCodHtIfPwif06fMZcGKu6WT2oeBgz2LfP5prPto72rAjzyVWmrNOc40dv/rgBXEd
k3zgG733+YAfO79kYYg5PgtniAH39/0PUUF26foyKzzXkeaOoguJTVipz2yjlFvfCeRZSP3lzozc
r/SKJ15f2tqqbeuw/D+KL9C/dQrBWqTpRuP4rcNQ8wPeh3aHRDx++eMvSZeX1YgLD/8+7qHTHOHQ
OSKMRKJLabTTqORTDsYuHuf1ziYzy1k2dNnGBfkr7p8vU5yrDIKCLCQSH6TtApUid88cDT/+om3V
k78xECFPclz9x8cAc16kNIHCCG3uzJx6u1BxEWwCwExk1jvO44itaaWT98VbZBh/PE05biCYQhiF
DIOkhvcjlU1R4CpoU5qLLfBbm+qLEV/2vWVvuH3++vzX+zhRTKIdMAdA7aKVdLxtBVFa5mZa8bWs
zPCwF+UFjQQKu006c94+H+zjC8hgHG04Glh0tY63r4oGcWi3Gd9MMe9CQ3kk+/dXPBh3QW9/cQaZ
3+X3oguGQp+D40FnzT9WUGdGCEFHoRtrlOnaoGDiFmSFibSbFlPe7alVfHUaPT3iK31MzC/d8fYC
xhMyKSNWWrdP3PKpGLU7o8Zw3oY2OYitfvb50zz103HwBiLBqYMRj2ak1XDvkL5IPKVt90CqPaKJ
LyNb/WKYj4dS0lQxq5oGoBIe5vz/v9mhO0dFb8tf7XWKrtwpIjd35cCO+PmX+bhUMoo2Z5WgsrY5
N74fZYAKBm1ZS7za4FrLdW+Zxu1vkdvXcSXpqsF2AWDyhapb/yjqZlQWDrS4iHHt41fNzybpon9J
PBc4/6JPXe7ieZkQYYjBkcwrOlnNOIdsKYWJyV5MbkntWxVbOVTBLqWZtOk5Fk2jVd2QrZ6sgrLk
cDAfC6pCtw5oY+x7V+9tL5CN9cWnP/nDOO58+YG+Yx7/MPQlwzkbHjgmiO51PJJrqAwUOz7/YU7O
MnSVaOuwvX04cmYmeXt5UKQEJgjIxkXnqYl25wj51anlxAtr4cZCVYmBkDvs+wlAEJeB+y9nIcKC
QzfbR59uq8Pm829zagWCBYkeEfMeqq+jyTzFqj4ErZKgIGjiRSfYpgaLkKemSZ+72PzzUzR3RmSi
bBl4OdTjG6ojIxtjLa/omPi/5mdXR/Z1VvuPn3+rUy+Pw9tOhi1CNuKW3z+7oUlyIPO8PGlkOUTA
a9TZfesXFddiUweW87NPy3iHiqX5Yqs6tebNjnnO1e6JSw/1EzU0zC7BE61fylx5mkiJKeOHMp5u
Wa6/GO3UhOfaQ8wBFnrng1ow5TsKu2wSrwzKZJvZlrju9VhZff4wX/2bx1vHbO3U2Y7wsh1f+N1W
H1qLupvntL36EIVqsVFQHANnNLqUAr3o72PNKZZtIbvLasyTC4sIAtxpCLumsSTEM4jLlVb57Trt
HZqybRt/dbvVTj55wQ2bN9MgYvvoJ6/9RrX6LGO3GUxqhbJ60qRbLJGWNLBzncd2oDohypBKZk4u
WtJ3pJK5xY+Qtu5kl3Jf9pm5o4rkLsgJKRduyPf4/EGeeNdobHEEJTAGleXxhpgKPgP5q4XX59Ov
ctLkRi1RVPkpTezx6fOxTjwO7VVoaM2KVU7d798AXRsJvXEkR3tf+6VScFhllvpEbF3uCQhPazTD
8osTxomXDqoIKFFGgxhxvP12dQqBm0xcr4+tb6QlKEud1j3FzHpakJBX3Vd1X61oyXben39X/Enu
XJHigHi8UpowE+EdNIXHXe2isnsgXXV6jSw5WIRJ8ECwRfDn5zYGnMsAOhBFlrKjp2vTcmhMAv4U
FYMJrCpak7khr/vKzTwStr4a78Sew3icoWasHIfFo5MNhh0zjAoe7dCR45qadb8iKLVaGcjivvhq
J4ciptHAz01E/fEmWgIAkhlIek9zi/zKSqtpUQtpH6JW075Yvk7NUYMXavYhzJLnoznaoYvJJyoD
+I3buzYsXiyruiPWscacVF07bS7/+HLEAobpAuOvjo78+AXUBgruejNhI50TMVXR39RtvSqpA3wx
0ImFGW0x2VHATUxsHPNDfnNELDHf0U3lCgiw5JFA4a0zVXefT/rX4NSjVfndGEdzwgU0Gpuz/w5V
rwY0JCr3jdVYN3qLE5to84anqOJW6+ty1dhxcF/0NdhYi4ZN69QJxb9WWdd5RLvHhFALN1uDrzqm
BEnJGt6GGV7rkNvhchNa6pdqvs0aFBrcbsclWjhYmxZhypM6kDur1Qj2iJbRbiaIqg9qrjXJpsga
ghm6yoeyh37sMk5VTocF0eR5EtWXcCHCrVY3I9Gu6LQ6I8zOO6XuPAfmeVQkzZInnGwyakVQClEL
eSiUskXRTyVpGaGFYjDpzwrTICA2itvN54/31NxkF8f7j4WCPsXR3CQOuJKjzdxEK/hUDfLJCctL
01A2RlasCTQo/o3XjjM3hz3K9yjjj8azwjGvQMPknqwgmbCOQWHa9TL/4vD6seRHmBj2CQp/1Ahs
92gYc0hCo4bi6KEkvS7JiEU45Pyskns6Ued0pZetpf8I6vyLK5NxelyqtDxRLtfHBzK3zKoMUCE1
EYgo38JBxSVUm8o1anfyVGicc8eprMxfS1LzVmmOUgjEGAt5pXc7C6mvFffKzlDJVtakmS991GFM
uHKL8YM2lhs/W1rHRX1AD5SIKVi5UoN42YlpFWj+LeEyzdKZrGqRyNjECTmVwTrm86xkWr4g/IYD
5Mz0uaGvNji6+N+zyVqGjYzXQhH6Q2VYX/0UpxZazI6Ql/Aj8IPMj+zNGhGBt83yBLuuKp9GgKkL
Emu3iQbY+vOZfGotejPO8cGoKzsCVd0+9xwrVUHP2O0yC8P154OcOtrYBm52S6ffZh8b2tWKBMqK
HASPphNRDwQ9cxl/LJIQYW0zfmE6OznYTFXl4Iu77fgSYdcsRnnKu6KEdsZNdNp2ZgnSCAmCIaMv
Ht+phcCm7M9ugWXvw+E3HUeDmB2JzTmur/UGj7jmj49FWr+QWHudhfYXT1I7NS8EtyQusHipxLFR
ZGrKlOfLOS0e0hCrh64RAlD3O51a/KowlNAzSwgrhJQbN5Hqh94YoGwOCEc/dwIn2biQie4FvgA0
2j7Jml88j5MfjwWRMhL1W+Ls309boKKNQg5H5vVV+WK4wUOod7epQTP58xl1chzhcFPk+jv7Zt6P
03TKGAJ4wBLcpCXVHPmUj0q/Ktr6i4301LGV4hTuNdgSLv96P5DRu8i4EWB5EuF42KBz6/PrurD2
saNdpkV1l6XuF4WKUxP4zZDHB9Z4MsmAs9TMU/phG7TFi2umKFztfV10X9w5jFPzlxvp7NAXdISP
X3+s62A5B5GxzOjjDxmWv/sIhlmXas6S8m2wVEolWmasyOuomgXHijbLs2qUP27XPJoUVSCKzYEu
OrJlrC2YDUJZ3waTi+E/B/0KfNPZDKJ3HhyLVRMIIYgGUiuGFahtSpuF/lvtdTTthbMaSvVHXLQX
eBLLteTIFzldT6yNEa0Bf+q3JcpLNnt425/PplNPwZ2dupQ4mLfHDdg0LZsmR6TsTSVZeXLSyN8z
H63SOlAzfZQRAIzPBzz1E8/2DByDgmLr8WMvYy0YKw5DXlS5CuKYti43E7fflRH4Kcb7WZj6+Ygn
viL7+uw2BijCyf3oTuLao5NJ3Ui9hMzwdViP9nkeckIb46J5jGtt8tAhPX8+5qte4+gQivaG2GJC
rijdHe/rAXxiOrNp5tnZ5C7DvrVvzVDrlrkxWoewSNOHUsfeHptItl51yk4I3zRrJ2LE0RJtlb5H
MvvFhzpRxESVQNVnXrXFh7tvMFhTCTWXpWPy0bMZgblBlWZsGr9utuS8GgtmCvIpK127QR0CS20S
5NfmX9zKf9n2N06sYbMvHDkGJEUabfr7pYXgp8DOZJThW44NWiOzuDky0ukagWVuHfi5xE7GSBLx
WTSLIKWIrCnQSoGZhN1Vb/TqZhx99VtocvDW5aR+41icb8OeKYVtItmg7LG26HJfRhSZLNnd2rRn
ppihADxTcumFdiWAlrVi5QQHvUiM28TIh0teW5woUFunx9Bp3X2qiu9qOyZfXMxPfX86YHjQAUrx
XOeX5M0Rh3JbDNTD4PunyXAb4s/1BnuIHiNNCTef/+inhkJ9idYANzrbxnwKejMUTaeqyuZtyS2M
cFVWzmzpGcpk74Zp8Pj5WK+/2/Gsn6u/BrdXtsHj63+u2ClsyIjLQWf5zoKcgRHHx2RqW2hh3SoX
qXbQCtW/koPeX+i6ElzrEtIduNdySwDt/yfr/Mf/KlmHOrLDMvg/KIHVk3z6609ePGUv//Wfu6Kn
bvbPv2v367/+868/8HeijvoPpqXg3XwXIUDQjo30lj0Tu91Rmo7xD9BQLCr0fqiVv06zv9EN6j8M
mz4o8fIOqg3qZ3+CbqB+y4R9M8cowCBUYBUzOAHpLGLG+wk9ZlJ2uYicvVplw0GJm3LVJ3pyM3CD
/5Xl3bTrXxPfBFJrBK2vQXCvkXCv6XBoeJUrErNIvSEorLsCBOE/JBP840MVES8XyigOdkU1578R
JmIoy+o1jE7ziaIcUvEwWrK/ZtPCZFGPWYovggvSr64brbOuap2HcChIbJlec+8kTZJxlc9xeBK0
N/DLaNfNUXlxOKfm2a8JevkcpsdBJX0hgHkXoMm4iN2hY++tzBsiAsnha7vS/y3ncD7QfudJ2hKs
SWxl/H2aQ/xMP+geh6DKlvrYhL8VwyiDhRtYFXSbQVyVNmEu4DWNBhRyMJxPooZO5dbm+FtkinJd
5HHfLUSHhpS+nb+zaU+SP4/4kVDfwjDP9JCCCtXKScMjyq70xB2RAo7tN2ur88PvGhvJsDSczNk2
aE0EyUJ2ejtqYXgJUp1EwBYxZ9SnwZajkbNHgNVt1YLezWrKMixdYTBF2ykPU7EYxxCPe4HBcaJC
CQZ+lZuF+2vU1AErsFMjjgdpSaSpW8ul7ifVvvWTeFaRwu0ib9bGkDG4h3qCr2DFsL4Xqls6FyaB
BpDRaeLcdCJD6AVP10sUtXkOFd8BRBNxE4QtZ5e3VdrLvSYckgf1gYfjpnhxlDJPLzWBOHLhBFNM
63Qs2mVgie4b1/RxYaPkdg5aWKBnxkCArtEPhLunY+/LVZDhIwLOVV8iGSZKbYiI+DPsssJmM4SI
UyM8pTKmD72wwyG4cmT5m4zxseVgOlXRio5C8bsPktRcGD0nJdzRk/xJZJCteL7vpA8+1fNdZ+TV
esKjZOzK3O6eSngtV1R8CZMrc2uDhYIaV2xUxgbzHMkUQ6T1l3DsgvgBn7Q/dBjQnKhI19pEpOxW
aF10Q8MyvMp0Uo3SX/y6em8uMSdGPNvBzIkSP1MnNDLRhWqLzL8IcLCC68G0MHu1vvdWb+MK0vT7
wGEMv6mIfppuzTk0qX/NT5KaxiXfz7Vyo8wBS3R1OX7TWtyPkvilJksyXm8cMGNRL8s5pAlbPd7I
ObipUYlwqqTmb+I51olgI30dzVFPdWBkq5T0J32OgSrmQKihMG9AwaC8Vq2zaQ6NGlXiozjYz9TV
OVOqHf6bvTPbjRvJtvYT0eA8AD/+i5yVqVmyLOuGkMs25zEYwSCf/nxUVR3YUh0J1deNvuhqVNvM
ZJIRO9Ze+1tLvpRaoqbqsOcJdOvOvDTADvkbIYilIhY02pFpNRztqsf6hKJ35uhoPJdLpNW4hFt1
noSW1VRzd/JFJ492TgzWZNUkYmVLOJaf18OtEYmbOeXFLEjQmknSskjU8suw+B72jbvJfaCSTZaL
e0Pa5WU5MngvlliuDJjcXf+S1RUusV2RgLBlvkR5LaFe+RLvpWx3AA9RXDskf0VLBFgy82IbjXPI
SQfzl5iwagkMizu8WvlLihgBHeGhn/0KdiAhYySljvd0MdKNuUSQBUsYGWPQah/aWNX8xarD8lRA
bmYqI8ABR7cE8hbMKCEvPED+207npHtVhDg7peti6GbqLC2wVWoaTMdADsE9ZhZ5ake/xNicCNYU
OO5khGZebPxhzhqcK72J+YqBbu5cneTXs2JtLBII/g3i60HS1TgfLQMORiISvYvtWa6Zp2D8VUAA
YNKou6ykyvZBXy2hgfYzksKExy5TO00ffwXMgSlOocADONwUpvlTMmVmgpDXflJyt20izPo1lPro
jyyb2ERCR6G0ZTiW18wg1+cZubtXuQjH78r0OMTUxUxSA9leJsNX1PSB3PUirB6Jawiv0yEhpzPh
53/MQ29ne9K49ApdX1lKZgSkJuY96JHyp5jc4WtgJe5d0On6puvSZDtZnbkrWxIV1TyEZ7npCjAP
RL9sMUcwLI13Rd5lrtMcw1Q4z47gkabgG8+h3KJ6WK04aMbcr4TwijXzR5K3apzu4Gr6ISdRK7tk
AoXoAtIszoVXxgcz9fK1ykWxYXqaJbNMrqxI5IcsNrJro5BBCBIwDEildZKNkw9kycRDOgPnaNNd
RabOJXPz8eeU4cl0VbWeeIKPn4G7M1R2bqtCHIQdM2E2W/pbBacQZHA73zOeR8xmnAc9JBcMq2RY
ic9dMtrnM1GO50RtMlxV+ubSnevSW8+X1p2dKHs3N/RPJ2a+oVdPQ/ql7Vpx7czM8KaiYdSDhak7
sKPr57ToSrDLbiBW0rf0dhydYo2HZWZqQA5Hrx9uBmY988VqbA3Do9n5ANdXE364wnycDNKTDw0T
a9kXSDgEnK2HxpfsRIUJOmpuUmWvakdWW2n53WZyFI2D1tTz93BQ/pYRXXJC+owlmCY47IG+H4HC
ppPcj2Z1P2rd7ZmITrY8pKR0paLcSIS8G2eJ2gGDcZSJ0W46v//LdfBfvNkHeDMYO8uZ9P+ujy9/
qOfvv1XIf/2RvypkEgA+gXikOoUiteByOMH9FbQFFPm3tAC67kGADPCCO6OY/TtZy/tEH8zH6xG6
KLZ4Wf5NWQxV6lVZ7NOT4TIIjyDNbGhav5fF6eBqhZDjXASxoEqFv3E2OZbRQ2UsSfMlO6NDZGqO
vhV1FiVWp7bmjDI8olKQJSy6cxICpP3IZGABgrEkNBeeuuOu7ZaIkY2kXnxwlKugq1T9ZkhwQVFA
23odqZC3s8W3DE8irdVeklF0Kx3RfK1VrK6gmsTMDjGhJgGh9UBFu7gfd1mFUSzo8wpMScE4WsCz
vvcjPuKqJTOkYGSxgQtqTI6+dqcpwB2hmX89oCbMzP0Uufktl+UCaZiK4nsXGN1VljBrtBrHSl8x
zi7IpkJSMgHLVEsTjhCr4KyZenfeYZfU7Z6QQf6tI8DlHiUhWddd6jESnjDxA9ummjQZvnxAaMDx
TO5K0xF7fWOHkMkiN09u57zA1EE91ubgRTdjWoUJeNVG7XP6iQfgODUIDLeZKX7ZOa57Zk/rjeH2
emgvSFz+PLTtEMycXmKTzOkDQI5MgqC0EyfYhwy647fuSU8AXp5XfW2uCyAXlw4oIHpAA67dM1dY
DRjGltEuhp84lTGuu80gRZf6C2K5K5xbVTBSTalotasQXJdioL9TbrQM1WfwcNom6WHGhG1IAtvS
jE7WhLbk8VVMUj0ckYbkeog+g2NzM6UKhnNhGorImo6arzmYYrTik92TE44LXqjlwQlofercm3eG
hjWxKiriI9RxGKRsMZdPVT44/aoXQo2gTYvRHoX1mMSEks1fCXSc6v77wHpegRkp5rmM/7Ri/HfB
+2jBw7zIivF/L3gXDBQ//5FK8WMYxK/KwOKX5k/+zXWMPiGi+mipHic5y/yV6/giAZDAy2IGVc9z
UB//Bjvan+gjoAnxxzDX0J7632WQ0BQMP3SrsHD8tZD+///3m5AoXv3vd6mLXAFNDbF3iRo0X3dx
I2diPrc1WiKhy59pk6Cjhk28ykLzIxn7raxmBdDvQbIi3+GteaVgltT17qwtrmTDcWCg/KnlnL8a
41Suf/kdrv9UNj76TlwD+xamGsb1lk/yi4CXDEY8923RMhdH1F4szSuhKsIUuvnhX1+IIShm1xZF
0nzTX1OIc1FDYOthEsXPoix+UvP9zPnv/+QyYN+XTjt+mld3jiERhk083R4wC0TbKOQ0JLA9kyIB
P/bfX4r9jJHKyMOQ+todBP+pcmEstEA4SfjTJoslPpfwvK/zD77Usrv+IkrxTGNPYPOlyevgcnzd
5kU9CY0hGttDOrLo+XK6nRL9AJ7joVVg/9//Wm8bc1zM8X2feQ0/il5v9QaxX7ybTXuIOgENWVRQ
+0JSLRojezaXrJYMftDKmqBnvX/hf3joMT8tE4cvPY3XP53fNxxL07o9tF3W3ElmfDlMQdxhUM75
oFfxtjnPd8SQwaoQkJ0dvHItzjKXE1MwLZZ10IAVyI5tbpvx3X/whX65CkvWr+8WuQ8kc8iSq0Qa
ElSvH1QF7Lnu/7Nb98uVXj31Y1Gljaq5UlrKaePr/HluoOV9/Hq9Hal8yRtnmgGXOqfv1+2uRDLY
7Rp4Xwe8TUy8i2Y1aNqZo+M+dhmD44bTMsKcp/bO6yNvzZjRBwZtz3z7oOC6DamMoyCiun3teETN
8cKqaSv6AHazac0l/mSCVH89u9VEdqLZbKyot3Ywz7yD2cMUz0viA53OrY+qw368HhuQrCEO7HXf
1EyRp2Q5BDlprgtudyeD4ueEeH2WzJa6aAPiH/p2Fv7KjgifasgB301pXG1NCoy1ZN77EJBAfkOM
oP2lCAhk8uI8flKVmjZUi94hDmD3NRNAppFj/aYINJWQmCRlX1HrcKO6xD0bBszzsijrLe2p+g5u
jXsErjH+0cVsNNbg89khgNxMFH2nMRQqX6dBmDbIJSXFKtQgLMF8HoPGyXMV86ULRXJQEyXtVWLP
zWZgGg0FzInjfGXJMgLc6gzR3ocrtOtMxrNzBOaN0QNEr0y+3bwAzCum3tfBUNvrOGB9S5MM4AuU
B4BCGiR42jYDohpRR26FJoLltDlZJlFZYQVUhzAxYx2UOFKSVHknnVj5UxI2JezzgiEp4bRfO7+y
v8R89xZqvtV+bSuXnG4/VjGTKkELxttxJpYb7bvQvShvywciC71TaIjqxjCy4Snm1oCT6dorX+Y/
TYvfVIJV+AIY7KcWY3xH6EJzNi6rcypEc5rIUip2fQluleUlKlPIeb6+pYB3z9hUyNBRVbZXCckc
VCLZgsKT9TFLGPBduZygLxOnja5yn/gwH2TnpQXacu/LElOTbYxhuHp580oByBByXnie+tyyIuMm
4J6Dwuim07rq2uQ+nKGMAGDNiqcI5tGq6kg9gBCYozBCN5oBXvV+uc9q22wvLET6aOOnsXpM49aI
tralRMg8ZJERKWHW/Tmk3PkL5yDvXpMb/tMO0ubId5y2YFTiFefE7uDmVvTQ0IK5d4Au52vQBh6c
FtdDc2XiREGk0VV03iOe4+2y+QmGWBce6MY2aVaAegx0ej96EHDpSUE1Z+K6XHbZGZjTfuC9B/sB
gCJ9wIGfcFIL6/w5woKwI5hWXVDSW6TsRqrcCxXr27GP1OPcz8WeEekBi6LR29mObAhv3s55WNBf
EAmnOl8X1jcGXsR3e+bdco14sjbl6InPnBgIq8ld7xRMJcu4bviwPclzR98kaQwFPDPWVsEv4aVJ
8dQldn3UMciiXpOwUvT5TzsEO09WknPkg1g7QHoTZ0LRjZu08tNLkG4a1YTsiByMDWcYdl+aNuU6
DftwAxo7viPzGehP2ur0R91G3qEufCKm/dSfz11LPrZiUnu8i0DsIsmDMBMS8RK3JkAYEm4OVEhY
5R5e149B9sEmFfqOPPnD0KhvMp1IQal9eyvj1j+xGwc3qeSltGo+lmmV6kINfbRNCt5zTOfxym6D
4gu63HwCKbGrZuL3kpkwkTWRckh7RZZnK2coeahZFVGxypb+kcyjK4e6dtcZvPWFLKeNoiO0cgQc
17lndavGQe1fYtpal+9tV/kz6dThVYjjnPxOaHCOGizMJaN1n7uxcyTomquxoD7JiHg8c4m1U1he
CVZCll5VYRcxpbHwGoy+7OkGseakwGNvLJ8wINcktttjoex71g+4d8HNnIEFtPt+2sRBV8fwYmR4
A9arP7dGkMUgoXkMZdR3+9IkySufchYxWzYbf+TSfdP0hwxSyRq6wvhHiqeQlksNXEiAQ2IIcttn
5ZVDxN8uHWFipqJqr0S3lPaN3ZxKi1w7ZPhUkk5muRgduTtZHI2bCqlw+7Lqjmn2dShC64c5slqp
5RnxCPy7LOIhu8w9nezUhCkPjltOsJ4xeLBmvZ2AcbgGRGOvPZT+fTc0eq1mv/mcae7QHMT1RptB
v2bDHRk9G1i5S7PvGeLy63tFyBr5FXV9jGdZ3QjJ2mMkrB5jxEtfqIp7HjVy5+T4L5NaZZdObJvf
IksOJ7VkWhWNvAoLUR6EbyIrpLiQqigxLoY+u3IyRz0aeS6uJp0OF3E+fwGYNn4hHpZMDtoye3e2
vMMcZfO2TrvqCnh2fF0WX4MOAFfmpD+bZAFUDNln3ueHXpnJwWYsEWxq1a0H08HVOwmbQa4p2bO4
f6MdIom7ZdNbfDRnRpaWD6Cv6mNPYNODWYXWfWZa7TI0MjIm/rLIwkDE3cNvsOP4N64Kn4YG+3a9
Bl6h5QE7k9vv6zRa2VbaEkAjopzOZlmymOWcMzsekTyq1lZiFmf12JnRKmyDxSYNAHszqW5GMG4d
HBtO0g0mZFJaMRAn7c+isqvj2DnVsSE8ql03oeyOpKPLjbSwU5WbuNOMCJ2m0dYVHWOzJHXGJz0l
viXJBCiOWeTA5NxMVelxzCMEXZKFYhUeXSWJl4t96RDWznEA78pqhkuAfp+nIERVUf1oPSYsrCwJ
CE4JWms9TuASqW48GiRCs65P4eKMWA/9MFyTTAuHLHfB/q1JHsrx/6S9S1KYtFTF2iOewsIshnWj
y7sxdzR0Lssn+4X63iXQMyAFsF4CNLPW/OaG8tDmeU7aAFHILlrOzl6iA1k41A2BIcaF5RCfsRkC
8usNl0As3lPbWTU5Qposw+Fgd8y46S5+LlKvAMFNKrgNCG8DodN6pMehSZonxXilE4DatWtLIn8I
hb/kdU3+SMqAgbJiCRMpAx1R3RrGGb0rM9wFScX65vos325CdcKBzR1XI6Aeb9PyhQ8FxpFqHU6e
2r9f4781Gy0FMYKph8caj8LrU2DLND08elkc0qpyj2Q/Vz8bB+LUahxIuazoXlFaEdXObUtza7ik
3cTpiVTEq9airMr66pmNqz6GdhduJpujjsjaulqXk/ROLuS78xoL7HnhEyU5qC5rVwNpSSRg8w46
kJibrUt/9A76iPvs+DiWVoRg0lMzrOBmii2W23jSzAZkWf70sgbWNZD29Tgvrb3378Vbg05EHRFy
oiKk1naY5P79wCNm8M1SmOWho5jY+PaoSFmTZoDpnJoJVnN2OeGkpQc2U2MVEXBzFj/vNDhVQpB4
9NG5+Y03b/k8CDaMBTLs/WZkOEhAJJNEUh76ygLEPZ36gv1lDEgALeVtPLHlv38H3hzUeRiYweJK
WFiQnV6ZAYWrvCoZ2/KgOgrSGpowmzWlCUFdzcnAKHD2/vXeupaXCwbeYnlEmn8zg1X3FHskSy40
ACDOCyyw2WSiViDmebAGwDPbQvCs+V44Xr9swSMcVX+f2kSbphZhWxDwPSJhO7XXUIg/eCLenLNh
M2F+ZaaZN4T78up+MMox+nhLs0PEeXvvGUlzat3xo3fwjWLBVRAq4C+AVcFYtPwqv2hYMpMq9usm
O2AucVY+c7UMT/vEqtkRRb5fwBidcir3tKDifP8HsBel4DdphiAvXn70H+bg3vJpJqtwmcAbcYeL
MYkPJYaScyOOo6dKUpeKZvSmq8jwooeaDkcRTd1Po/XGLQo73eShIcBtWezIa+1KGTrbBNl+57pF
f6D4jc7zphbfiRiNhzMjZrDuT8Xlv3r1R3o1U4s8JO/o1dkfTEo+179J1X/+ob+k6tD+hLGUl5ww
bryr5Gf9b4suMj8Bz7IItUA8Q9/2acv9LVWHn5gkxLvo44qmSbg8qn8b2axP8NDhGyzSJS8N0K1X
0vR7UvXruVyULXJT8NehFjIL92cuxi/vRKcNGvKlsE5166qhW6ukyvSh9zilx6lZM8DRpBO0zLyw
jJF6E5qCbrH+9/jPW+8ZKH1tWxtCBpbaxMv9GZAJgA43PyU22V2gQ2khsd4IvL2/3Ol/UKRfraGk
Mi7YuMUtzsLhsWz8/jaHQo4lgwH9CSCXvrVSwpQ9aqTzSQXmJWxTjqXvX5Cd4PeXmEvCVFk2CXR9
n1/zlYvVyErQ3vjITr4fnTdDADOYjG+WSSb9aEaRxWF0B6s3268Ro6adXktXBe4hokcf77wEyupZ
HGQLflxBglmRYYGIYQ8YBcI6C5xtU0tOW/Tm70sbctbejevmhK0MQg2CClu2VcTEcXd9V81rD/pa
sUvGmntt+ErfljOVgW3N3jM09Eas8i7kUhFaQLLtg3ip+L3YslcA0JEEfH4RKttBSLljZmS6mPzM
vu+JmQQl6rDW9w5778T0LnicAc53HyIirIMEL8qWGQV8Aigq+tpM3RL6VJrY95ZFNAchjILvBmO0
+2qkJAwk/sjH0ARwaMIr7ParrUagmH5jd+mVTis+UTR5zhm7bKo/990CheXEa1v3dp5aAls0HYlL
hgkDY+cHk98+2o6s0+PQC56/RJQzWlbgqdu5r+17qFm2/tKGljaeHHvgzmUCaNRq4szUnPVtSHmn
QJLNcEgNLl22in/byoJPB5GfgkrPnYlhCUZleh0rCzmvgUOeohI4fH9YX94zTqf4QU4cOBRtY2yO
o8VppoOVwPgWf7UpOm5SNrn8Cr5Lq+sxHdlrD+5sVtWW++jItZc53JbMKBERtDd0890049vCQOXZ
1gmPYpke5+UnCZabE0GP5fcDvnqKOgNhIysHI1iDUB0vUnKBb4zQTMkT0by8GOph5HaEb8CJ6Cde
wjJC3Vj1jEUHm0bZ5daNg2RTep0FmHrU070/2ANOs4iDUZWDAydKQDbPST54F9OU+A+GCqzLUbXl
NYz35BkPXnZAOHbDdWbXwXOdFOpL65i53lkzj2w6mvqaVPohXKf5UlDjUAUNb2vf01tSr6IHgwnO
4cbOZsPfeCrgsVF9wO0ds8rvr8xBe8wDeDTBmV+RnWPBiCZoeCb2mCfS/gO5lN8ucygSfk75JNuv
/GOV/2RAUN9mlYm+4C9h903CMyJs0rzXHFut+8lefnmsSx3RtPHIb1tgZkTDJA/mK3eGlysgoGTe
F2SLxjvazK14FLGnbykfeRGMOeAGZzaTT/sCIO3Js2ckyVgLDtsqRzDMYxungON1B7l4MM8d4k5w
EjWSq6BQ5TOkC4Eup2mnoyVHTkVAOAT7U50Wdn9Pt9kwHkjUmbvzwe6N/nrC4BfviGBk+Z2xTUWf
M9esittY5f1BV0bfoUQ6ztmslpp+niruJQc67qU2R04BUbQkFtOD6g9xGZaaqiHm7Wk7xlDXLw9y
Qaiw3hG0wHvsq+WlGHqXv0WPDmso1lf7PpOG5azpPqX+oy5DaV/lccRCESZW0fwROKN1mfohQj+z
JlzTKJJcQ/NP+vypt/oxaVdg7YfvDjbX4kvPCmGRyxPPXn/VVHWNC0wnBtbmoIT9v7UL5p5WcITy
o+gCfvOh7K3LfJgd/SWUcVf88ILathGAJqwV28pUtn1Vsf/M3cqWkL7P4toOycPAiWuaZ6ntcEAH
lIW4bjBz/ZTpmeHrLAkva0YjHj0l4yU04C5geH9cW1UjP0/NZGxJw0g3PBhi7cgkPXPKKN6giuMj
qzKmoizHmgh3wlx4QHbxl1nnnJhRNGzONjuX03ed0wSY4ppFpjlr29B8WFwea6cynwx0ltVQg7XD
lAVmPx11eICwnXwrRRz80AnpYthM6yuIsudy7LtpW5S9vgHPmjx5jqq3FZvUhrLPuaXpVj9Zblrt
7NpE68GbQaLcEPTXEbGiQDUKDovEApUXWZuUn+1cYI42xbDDY8v5W2mGyMkBgIw+tleqnKtzD3lh
K8egvGFZb5/ySKZ3yi2vx8DU+b7v4D13E1hek7pzr7Imu0uEX36G0CGSXT/U9TkMIsTXopuPpREV
u9BBJFDgzsgECJBOMuU092w67WPtVW26yWdR78LMbL6kvr/cWrC8Kzpzsl77gdSXra+dFdbJCip9
IH5iYes3pcSGaS8AF4KQ7EsQ+YG7SU2ykFca23e9Eb2tUEOrZh+W3bR0uZzmbGH37xLPusnjpt2b
zN5swAy3j3nRI/1oW/lnNcdhtZ2qQF52gxvfRW3q7w0xFzuPZO81vMA5ZPDH9y+NdOhOLNjTgYnX
6Ww0rIjptWLcTqIHmW+7ct3JKT+ktfDvVabm76ZZ5qcojEiIr/voo6S/Vwcc6pOQ2DbmJBlLgDvz
uiSaqsQd8KS7x57MG9z0hskWw2PLOldrhCOUD/7U2qgU/2wi2+nD+yXSq4M0HwB2Cv95OdXCvFk+
4K/VZFM5IZlWhKoMLWJKvYi6o8Mu6BoIwrmpmlPMMvPBVV+dHl+uuswVQUgifBCyz+9XxRiVBuno
RceuZBnPIGR063awKXLe/3av+okv1wGzA4eJcnOxXfx+HZU2vhRREh9dVHIWdbNn06h1+9XTMSvW
v7/Y0nPmdsJMeTPEZLGIGAlV6DEs0aybJiWgfjEoGJmMtu9f6m0ljSrAKC+HAZPhmded/C6JgpbA
G0jf/mRd1otr2WPsFh2QEHoRoLv96+tZIIAsHhPTB235qqsOi4h1o6w8IjzS+OHPPbBOTbYsr156
KiIDXfzB7Xz7jNCF8/ia5pLxB4bu99+uqd3O1GXhH6XMFl6x4Zxpa/wI0PaPV2GYLoII5tmcTH6/
ShnbYx1nwj8mA2LilNX4v8MPh1f/6SocKEOgjsgZb3rrPka4zjP4Li/OCz+jfWPr9j/4lQjMxaIa
ctrhuPnqjhUdrVlCRLyjHZMxzcgjv4maRhriWDqsy6HVav7gSPd2+WBNZwnha+Hy47K/3746U/E0
lr57ZBLDf7SwQ9IbVZQiEkTCtg4n0ya0ambxev+BfPtiM5mIZQZ6JeSnNw8kwDscji2ZMoXk5Yob
lqnBxzAz5374AWrjH74iDwfWJmpwJnJfr1UBtGwuVdlHTe7FGnBlc5oF7cnSXdTn5QSnl6fm338/
oAQhDmEPO8Zrm5gys9pJiSA+lj42lrrCslCaYbrnoPPhi/aiov2idLFKRqgTjHK7QRSEb9+0pedp
8jrTKhVRuMqtygNzE5jlbavm/rLJ8e6gNVMm65G6jsbbJC5Vp3S8o3/lcrho6BYmtvjOuL9D1TnX
NN/Dwm8/4rO9XffAUzhQEljNcf3Zy3v2y25VZ96YTUbME16hma6zOGu/5tpguwKtx6OWR5T17/8S
1tt3d2HrUVciReJze+1JSUr0kpgt5miEBrWuDh3ODzDoB2ZvLHastI2X5z3PrMtOlt1XpciL2jhZ
pG87YXclIRVy7nZUSdl+YCQq3bz/Af/pnizOSXxqDr/di475yz0xO4a+VMhbX80hRbfp5U9WQqcc
vGrNJF5nfiTjvHn3MBUubwNSDo8o6NPff4QuE0vRT3iPcmPyZsyclsjU1TymemlvvP/t/uli6EaM
vIHsfJsCgJUigghG9peG+nSd1yRqmSLklOOZLaek9y/25qfmmzFe7VrMKlGLvWYGVYVhtSI2J6Lb
PA6WSTbwZPEickp8/0KvsaBYYVkul70bPyM76uvChHC6TPttMLKB96m4NjnDybURigFwEPwVcWpz
hRLiJi4+EyziRBW3xNqhJS/bYNPp2zQr0AmMkcMSzb65/ToH9I9Nw0fKQvVydiZ4XY7nXcHh+CVR
cqibqKn+7ULsL/BJ2mTsa5g/X1ciGVFZbVAJcbRn+scjXYpTRct8n5gEpL9/09486FyKZ8ClFYCk
96YjMiSmPSid9seeFIUzRsv4/jDboi1kV8z2xBx+pB8uu9cvC6PLtoZVcpm2Dy0MyK9/pXquHKvr
Pffow0D8AYdQHXs3jh5eBBE/EKg63Vx6nxut7Q82APv1I+IuJk3Mmg5XXnqQL7iyX95rt8RggM8l
P1oWStK8MfPQBzU2EYfB1BPYmPCbbxWFu1ENzd7LKMEKQe5Xkh3sYcJJQTrKdGvKChVxLha9pgOC
T10ve/55DniO+soX+V7y918HxNrX/E2EvB4i/EC0iQvmR2+8XNDjXx4v4papHqahJ0VO9WR/rmxf
QCobNdKYiGnengqEI/wTnUoWOgIt4AvSUop+Y1pFdcO8SH7Z+4Ox10SMXoMuNuY9OVM0d9VQz8Dj
OtsklCk3iVdi1I/QXbdvz4fCDSysZhDgNg0AEA7Qc3YkD8hau6r0iICVVtqRKiM7gifQvk01Ns/O
nC+uatJqEY9ka5XW97EnXPM8N3LeF6ZFFjF0Sor0Wk2af2YMBC+Z3yBRYtkhYO4AVpVDSd3N/Nu5
C/4qPlURo7xE5VLXdC3vWlqX3vQTtTwb14WVLNbWqddRcZaEhr5tCfFLr3EJlQQ9JZ0abgTmm2qD
nYe3u7GqtrhtZuwkm14OVrejBalvC9jd54nvN8UtJgDxnWBMvsWI22P+weChdC/6zlqkqJG8opU2
M/4gX9179kY+7h0TvC69QTt3zxV3U6FoSLS5rCDeeOe3E5dHB0G5GuYUITysJt/ZYh7kb5TY0HBk
jU59xkCmNO408abzuitmdq3IpG3fkQzrCPuqHpU33FoZ4Wibgsclvea4yLitNQVju8a+554p1QsC
DOWgjPXc1i1hYfaCtpsTnqC6Vhxx7WDMgnNXxRZD7oRAx+yrDBBfNn2JphUyNzrvNRgRe0W3HJWR
jrPu763a68s9acc8YABZCFoysp694aUOQLPn6ZsTH6kh9enCHS0/cKYTM9ia4BZi3fTPaJjj63BW
2EpfJDivlHwYJ9XWvZvb3nMWp2m8FUQ2Y5V+ea38xTJHiKZzNgZOHj7XcDgJlfPgb1vaSumCsit2
EEUwNqx73+Mp6kJ/MZuVHvfVFotm7uRCfsOcPDJPijHx+s/WDIkVz7HnLIVE4lLbhU2Ay9PKFyW2
R55nTIjjjyZClpHDZfsLfInImKJdBecesbbzqjAzne9IHTTFCZ8Pr2nVGnQaysnlxrqxcp1dHtlJ
diPqjg9imWgnu7a0BSFWVqefpA4cQyH0eEVxGzZAdy88XVr3fp7X7po46Gz6ERp0Mrb4xW33ZrJa
VOB0ojYmhMIag4r9mDYAU+kpagHPiks3B1umOzjBFwrzgtlMRiUbmrhlplojX8UxRoE1S7iXH8te
oNZPJaLkDgVtDlEEcJsdK9PUSG0o5EOIQDZLlY9/7vj/7ZN+2Cflrfll+30D+rjI6vqHaIbn3xul
L3/q70Zp9IljJgcH2qHL8MIvs4xR8DKdA7njpRf60kP9u1EafQKCSl+dedfl6Baw6f7dKHU+ubBL
PVzFABsj/uZ/1SgFQfr7/k0qD4dgkOIcGGD12C+W91+2UAdbQAXc0DzVptGknSQN1jc22qpj4m0s
3W4LMB7NirFb0tg1wE5yv9rBIY6sZN63mrOaPtMkLjSWqajBVY1ZTs8MqD9YEdXVhhm0b0loJ58r
LYN1lvjeF+W6wwUJcMP1DFQo3mUN8Aw6skZwkYz8S0IaddTuDfADh37I61OQ6xmDK9Ht/eB8M0Y3
nk50o3SI9GcP5yqP3PqzU8QyOBck1Jrk2fujxKRVOUuQ/dK8tYWmN9aYqyjHNTcJIh0KMW2c3nRw
kjvyK27OkV6TVJVxUTiZt9QC8D93Bb/tHbOOlb92bBzHIJzi7LOVTtgK6X8RMprlyKuu74nvAMy6
O9+V9pkIhnRv65zMdPyIpJxna2F2GbBzZP19bmf3U+EU135OB/PA/8W5mDCMVptBOxmxzw70UZzJ
znawjGdduHoVmnk1nrFbsFHUkbMlQyXCLhmST4hO2HnbmWPmrWWW3oWK6EdZgwysMxlFHaf+OYof
5ioM7trAi+/7YbLDM8YwHGMD4cUrT6VwWZmJDM0f1dinYFntYF1g+eIetGrVkaF39KOmPA0tY+QE
tI3ZUtnE9IanaTwNcoCRYCRtug0yf77t6sTNzH1MMPehsHzIlz1qkT2MYMHGud4gHqmUHLou34VT
HB/cprIf29mZKrJ0jfk+KgOAHEMyBtnBNcywfIC0LGtgF4zpmlvJHquNLbF0kRB7eiOTKc7SxKuJ
AspLL7OeEzH3Cb8cmbMemE+ABIzadq17SdL0CJwixsaPK/sM7ZrEyNjfRrR710XRjPk68/pk5TKQ
uk79aMBQPYhwtWT5kK7o2eO2JG2RJJ2QCAIjuC8Y3608+yyR/YW3JOLO47wKsubS7eYOrinBrbqK
j0FR72oq08+Gkd5oHFurnsvssCcPKwYlvlrmSDB7kMWAVKY71HRx1hHeup39Lj/vKsM8az2wHUPc
2ccIxNaqoJzdCsZJST/S2dFFStqNYZOdjHKaz8yOV9P2S/szMeNP9RC66w4uzypPBwNXaq52TR0M
TOY7Tn5GVfatp5o49pmbnEjQkpt5roiBaqc97bO1cFv5P+yd2W7kSLZlv4gJDsYJaPQD6aPcXfP8
QkiKCM6k0Tjz6++iMmvIqtt1u4DbD91oIF8SmYqQXO7GY/vsvfZOLJLXR2s2aalVYdxovoZVMkuo
TU5+2kvzSiAiwxYBYcJp9AUXnsq9kLziuMH8FJ9pc4TOmcJObYDSd6lGOXmdGgFrhigUKjNu+e6z
U2bPpKojdPYjBo/+p1w92h4FqXgck/FAvTL5ER6QVbx0h7ppMK7aD41V3Odeel6MiLm018PMXB5T
h1ZUvfWv3Hi8b/30yEXF3Hj6vI0zXv2YOiVvEE9t0+y9ebpkVDQGvt1POyULSuYjlmlxJJ4dnMlr
PWa7McriZyF0Refx6BCpSYBDaHAgGsMI/Y56zIa18jSn3kVI/O5ZCalGp2wrgCgq7qiDZ7k1qYrl
6DDy3pLA+Ph9OBRZlW2oJX5/8FTxtbhAvRjy/StqnWETKDZmVCJl14nfZQc8UsmGT4VxFyfNHSiJ
rebxQy11dT15Ivso1tMs7yOXRHLWaicpTXGfmo1zVcsuCfmFMdLA8MSnnLzqWss4Y06/kq40DrHb
ckVJmyKARAVrmcXlFa41a9tyrN911iiDeHH8Y56595Gj7liD6zuOCe9UZ9oISiV3uhfOlX5jDm40
BNLqsuvMpH++6fJur/OL2ul107PRspN7a5r8i5p03A1aR9c99cexaYas5HBclzvaMZMAdL5LS0x7
31JBzCuUBOQzs11m5RbfXi0+EpFe51bC0wGeFDEJao+y7rEgg7AzyyV6GPPxIrVGhROdw0/YWp7s
2GdzpA0f7eK/OrF5NHvb4X3cS4jPMFPwBe4ggR9rJ9v7ZhbxKjbi2jTiZj966quyZ3trq6U9gLV8
lJS+8AbOWSSUgJNOdjPq14lh3fe+PBdt8uzklD6bxbLVgaMGnLRbIjPvwh9ZvQo7zNezVGrerdda
+xaOxv3Erw6L9QDdnWPUe8+j2HgtKH7cKMvlo6YJbqzucMGWvKXR+Yrbcbezh8Y8KSfzgmaQKWtz
v07CfC68PS7w5ZjU3QHo4dWQRvm+K/Q0jH1NsqrUdjzMinCJfAyqeIW5FopefNEe3nFg4+q9nhdd
3CWl0LgJq+ZS9ORJ5nGotzKzk085OSIczf4Mc4lnwlg8GWI4VFTd+8PCgzXziemo7mFAByUaV34N
U0UD1/yauXmxHfh5MA7UeQjKMj0Ns3XEbGLsRBJRVBbb9nI90bo9YDtv5KbnFnayUzvezZo1B20f
W29R3ct71CP6szWWs3Lr5ZxMQ2lVt4C88EPXiuR+x3NNpnCI5xrwALh7uat62Z/NuIpweZhcXno9
DSJLe0q0cX08j/GmdvxA8+zrkSDvM2aN6kaP5UA72lwInLrzkvX3VaZ5R7/NlytADk9i0uUnGHHq
xqMSb8TOdkerDazCgCsvRD0PB56z5nbo/K9SG26NxMWhLsbuvrWr27HSQKHltOTOSX9DVvelVZba
0cNaXzWL8+K1kFpBLFyZGuYXhMthY1ZF887xKg4jXvUP+GFqiw9KQU7SzG1WD8neKZw08GgRD8sc
LlPaDm9+DJSi0j3tQjtv/kzADFjZ0Hq/HKo2Nj1r/MBOrOKj9tz5wR01jCS992bltgxLr3SfARDA
zIocPSRglT1WcaXjp0A89V34kZZF7G4S64eIX1gWWJOV7xr233yu+fZibjDbMvshVf4565p77/vV
8GK1sDLYxF8TSbOJHfDIdjNp4FZPqR/gUqxEIHVVnLBX14es7wUzQhVfDLM4dHmUh5rtyi0Ljvoe
c0RDA7GX9HfUEnuHxXWaF23xD5QkT48DmbSd4ad+GvpLnp6rrvvR5N4Xp3NBVtLxN9zh+qc0M05O
Zfl76ZO3sTF5bYkf8YDgcr2BdDqEiW0iv2h1ZuK0gANPw1BzzoyWgveunc8lmbDDWBvTxk2aryKm
xKufitS4lXIwHjggWwxjvVV4gdONSbEXVYyvAmAHD69Wq94aNoen2JntXcEs+LwmamYiFoW3hgpm
C6SbZXwiqDiftKQnQbN0MaUoCbkaZPMtule+M4mz4XUiEUMuETDUogVpT6LAMm8iLipwR8ZK9dD1
WNWXTB4EutIhTmDqGuiSJ4VHYpeXQ/wA2Qwt68KgFQL/e1b+csTW/oM1lrNvJJjzkn0Z+ax4NafU
ZrBMth/wkNzzW7uyM5hZPjfZTVHXGViz/n3oBCmkRfZBJSOL6nJCRgpkUajl9SERlQzmSHYBPrfi
YGE0CBKVkcDQx22krOssySxsQpSlFtLxTmlSYiPs2Dflro/NLNkVA3XcQEzFXjc+e8hTuw4/BH2R
0ROqUxkUjbmJNGGRJJTUE9iKREkWYSuYq63bAA2ueN+VxOMCFmtGWGuVJO49bPAXNRwnqR1goByC
tiHiu+TJ+wjeyWHA3+keL3HpyyeiDPUWigLOoLQ8jQ7JqczwMNFNjIZ420RB5FHyTCzqYw06zcdc
sndi66uo+idcNfaN5ix3Xck9xezseTfhgwyV7DZSzNR3S1tdNDUNO7Vo5jNLN0q5i7J8mjoayNEy
edTN9PtmhtICq8YbkrBQDcysRlkrlyeClzii8GmFaR2lP3JlbIzJXciX8S6fCieYdboOnMmLnlyj
OBP5EtdKkELtm+oXw28b5Em7NbKlDhMNgNMkBqyObQJjuC+flMhoxiYkuiNp7G8FYHaGbs8OZi0r
LjDGVth8Xu583W6uHS/61FsFMp/Ky30y5tNdM2OF9FvHCMH7MvUYhCZ0mV1X09xfk5MJy7qhprJV
q2aiz9ekl640GqzIRNVW6A4D1hDfHc9sfX/U3DcKQ3szveUjlg7IvbY/c82deTFynDXLMfLyYYsr
bV9AdfQARhpOq5+NNpOHJle3dGqeqinheEwaL8Q7oO+k5HqLmc7aW92wN2vbQK3KThRA8wDNdOKm
3pPtJnB+0+VjcvuvqI8/6zrn/VNbd313cevoqYY1BhKvit81zaRQTRTHLl2WEC7NGYDjKwScjfL9
ep/zcAzM2JPXUWSSOap04yyEvMtGpjOtzfSw65c2DXIv1snZ1SPjmXbbO80ARaycFh4JWcSPy5Og
wRQDQWz2KCVSvIPfZ5X8tHICE1Y0zlCzzFYFoyB2GyR2+VbUGW0TaWqUNCoB8Qqm2ioY8GoCmmai
qrsRW+Vh0KZmzcPm+yzVYhiCptKTsCaM+Ua4Apse4ieXHNk8jb1XIHQmw5GpOidjnlR74VdiJ+cl
PhFNdnaq6h9nteCorv0b3+uz2yrVjF922vanJUmdK2l56mBCI7rq62je2aNQj6IifAVR8IM7fHbJ
K8EFP9ZvSOEM4dDW8dlCsQt7HOwXJGOxbRYqUayaxHk2cFsaXKHtOrYaG5XGDAAVnq/KEpsY3yBp
ZPZ1sCPX+vVZY71FTbKgDc+RmbU1QfLcONiEIQzPn16JDF+aLqbdgleMofZS9QDNVDYfqRjBtjgO
19jvGCvaBCNq7r+T20k3jefi+ywTTLnSrhiD1AJrlT++9Uk78tmJnYlxj1v/DqIx3RATtfH4K3dJ
rRdH5sajW1Y4tYty2K2E4i2n+cyv3q62BfnyjNgLlynvvs80secqjOJiTdnbkPs+k7TQ8wuPap5C
I7eF67n1TwDUvUBS77IxI9cOaPQMNSRvcFZmQ8S41cmWFOmhzYURKiUzWi1a/dTlTXfV1tavZukv
lPQp+HLJq7mk1wan+xa+a3mbKX6Nde6wes7NrVEUY6jhKgucOu02OX7u0yiy29TE3JjX5SV23Ofa
89s983VD5QBv/3aadpWh7+n2HciH29xlKC/Z9TkbBQ3jJsbH7udSS5yE3WVGv4cfG6FwW3iCG+5Z
plWFpVZWwdgl/HgFco3VhniLOZVtPToADccPnkuboWW+Gvmkhv1KTNf7jjPSNhSVgsPn4GafqWsf
PdHcTjivjymYqw1XyBNH9DP072on+mnLVYt3Mip/2A0tOTwj1a+hYpl7bxqRURYeumi+uLaNe5K6
Ry/rt8vg5GHTEG3morNUL43QkE3GcfR2JhozZ+e9OcczP9HQbXNn5ObljdAluA52mg4FWgY9isDG
iNLxKoGMG9ii+qy62r/LYo1fpGfvm7FJNjgOlyccFbfu4sMUk4YJpEvfdS2VTkIpIKEMytrGKdw5
4IKTPZZR8tMzmut2MU+553xYhokq/tEZ5b7vvF9qmCXX3JTMrbFkYVv6myarQiOT2YZU1S/ZUfpT
aPl70mjJtlml/zXunJt1jajioZUsmQ+JtkILSIyFsYXYdFZntyrhgA7bXjkTNl/h3oCdNK80ZnqJ
rZYuyHHgUj40s+J/4kmO4b3E/ymbbdVOldokncte3znJ0jgR9A/hebK7meD77lBxcOAUvQ0yzXBB
pxpz00MQWNReEMoFmukIdUyLhgUIpxrg0dZQNtCspCGEOjGRd48aact2V3q4PXdKy0cVWqzY6pPD
HWHm+DB7wvzCNxozqHiN7EiiOfTarJ97IjCfbT65eUf23m9RLH5fN/936/X7n/XKq27/x/oHfzFc
cM4l3f/887+Suvnj713V7z/9C+iEtJvv+p9qvv/Z9gVf+jtbav0//3f/4x+Y7P9SiWd5/q+VeIKx
LGX/LMR/f9HfhHhymT6hCtJKJg6KP4iCvv2bS3fB75GjvwaV9N8c7oLOqotjiUTT/qv+bjmgBfFz
0Dpj6PQNQiP6y8/9R7rnXwWV7H9symBtTpsbBiamcTyRpHX/bBRRNEE3fROTirB1pkzi2c7QBQLD
PR9ARwxvely6hBjs+j6lFvh6VcyDxiMMEFZ+n20NN9Ufsi5f5q0yp/wm8boMSJKGS9t31X7yU+sK
2ICBzJiCRbY9vDlBHfmChwDhE1AudnIairE+6zGrgqA2izOR4fx2JcfuS91P9hFw5r2AkdyFcalF
m7bPnf2SJurIasC59O161MKd0nCUs/umzt0zT+5Uj+8A6uZ8M2GZh6bak7LX1smhqqN7enuIKKdU
kRx7/TPPl/oDWYBq89yKrAB5tWOAZKs8sgrYgVB2bsZo8thHOz59QklU68c1o30AQat9jbVqfrky
9W+srPKOEHLUz3iChRompTRu00T2ADosdS9aMV5luauzgM6zuQytzPyZ6TU3VJsMA2qjxT2KaMh1
rFfxqZWL9lU5QHwCsvesUJemOs5p8zr4U3OfjWtcIvGGp0R23YPvdxNXDG1Rn2sO5ZVTIfdRgJk5
HSLlPVKWjwXKqzCpYTUITD1VtJn5ucvkbqiPhh17H5pifKFkgqdKXxWf8Fq7g7+k3c6gau1r0fvi
nOrqRlti+ypXnbxS0bKcZFRQfmG77c6dvNbcKO4dQC7m3lT8PuP8lVsvghqvUs+fRknKzmyt4jRD
3YYAVDr8oJPPQ9aI+rOR2tohs/VkT1C9eMRhmrzkXZpQ3VZJGubnqa63lH5mBkIA/iI0s7WhOuW9
h2Qt+ksvKI6nlVO3wBIZJMSSZbVrx4j0QISrZFMsFiQUUjnjrxSBkNFxWk1YVcEiW2ZJdZuSpwkE
14FzrOplYy8zbATllRcJFuhssoKaw7wc0aXQ1XhO2bWMn6EMmQ6UkVh8NtMoZMDDnLm/4CYEsqhc
K1jYeTP0MYd5lXFNmsC/i6M5CUdP28qk5GI/DxtH2ddp4Q9flWvlR10hH40Zov1maPuZu3oynZYF
tZddcVc9+XUWvWqlE2tXKPNNtvUr1/iBDtj2QaKPENHB60bbYc6Nt84vIoa6qunvjL5q3hX2iNCX
o/GRI/Ywss7dfN+STvAOguEcAr7nUy4Jdh7muzWJlQVMXLaPDAtWqA5BlIzaJwM/rWYGq+Q4dNVC
C3Fcee+Zq7uX3J5m/YjNwn8E2V6j3bFsYieGVllsZNzWOy+pyg/MAP4T0v+npo9y40hlgdtx5p+2
VKy4WsOoq23kRdVrFjNihIXKeLKiiam3zuWKF7C3kkcvqrsNwhY7t46O5zOkee6snbrD/OeLoEn5
PPMUprWSArath1MF+gQk/GVYq3+FTDcCBRw+TNdc5bXhXtl6Sw7Mgv/P6yCyfd33nGhIIW6o+VLf
D4VI781Bs/d1qufTRvO7SMACUPqbSVEU2zAO08HUoUP7VZlme2A5xRGycnONGIYjhsaO7l55qeCF
dcvsBToM6PjGQOnmMIv6YxRPyM6eNsr3wZ3x/QusZwcwGTEAFn1ub0SrtK/adhH7WyMbbudm1jhc
FogbtZb5IG+EGHaalzTvQDvGn02RjG+zqIyL1aawZrqx9YDV27OKQp+ugZtk9qN845myRKAYqTqE
qGSGhi4f4pwiBi/3R4ReOMUlEZSNA7pYrAzjYaUZ+yvXeFgJx9nKOq4N0ewnvXyMK7vftysROcWt
iHahVlCytjKT/Q56Mvbx5cdCyqjcDgZ05XrlLOvfyGW8tNnNpAPa6U900ztwmYUaZfqyfAObZ1dU
uf7qzTk6N0KNZXTda88mOLuJpkiDFpY5N0ZGymsxCnXvlIV+D2c3vuVYnPCP58txiMdn5tTqvsFx
eN8bbWRC7M+i55Gkx6uFWwahyK2YaHEhPXuwgDik6O6592BE3Orgmm7J0Ta7Ni7tsEtzgcGLZQp3
bCRQ9msc2zztwqmc0+ve9HvESLfJGHjLkhoInW/Xyan2awsuYS3eLT7qPqKToVrnTIjQuWE9Z15s
u4q4xS1d9CA85RwzaNKPzHIePh8qGn5aizbfgHzqy32nNTX2rDm69mspH9g4UTrBD/6FMA8IZVb2
nlxyDyq9Wd5zWq4AujTacoiNYmZcnJFU2Ntum47S4hz9Z9j0qbGA21/cY5LSGUzdwW1T9AS/GtO6
iWoWtxyyeXQ/LtG6tTBZqtRxHdJwusJg+vo2Jtu3X1/PR1VPxtnPFnXguHD3WaO0mzwfBi605shq
3V+SH5R7pBB1uZ0FqpmIQ9t6N1/NbKXuzFyNe3/2/eNg9O2ziurydjDs4cDnyZlZCtcKgcplj9CO
MTGwZZ71Dcv7hNus5Td3o6WXrFAzyw9JHRrbxE71Q9YU4oabZnRZXH86tjwYMfNQX1P53pdep/6X
0VpmHdit3bymSHrv+hjlx7bW5B7PqeaxyOCo4e2X8JAWhWWHlq67u3TI8ls2IeO7dN1xk9PL+GbW
qXdjzhWfvGQ9NMmCmHRjjCPELaVMs36oZv+V5CfpuyGheZOUVdMboV55ZsJiYfTfUi3KHzBgts2t
o9q0PVguudVgcZzcJmIKUP5sOug5iMdGpTfEc5NUrvt6XvnaXOYH1cQbSu29eWcljruTvuOGCVHB
KMzi8W4xTHagnSra8tB3WvJqS8tOP0yHj3hIyFO3t2pks40sT7fC4lwMY5oG9pwxhLX+iresqdgK
DRVR6I8mWt4Ye6cX1rbVVzZM5rOPJ+DRaGJ5RYz2sanceVtaTXmECE9LdQ8Rx62ne6dY6D7pf4k0
+cg6583tx/6TtBMThFD4NFq7f3Mpgj04rlfcNkaxHUWpnfnlYEcDpnqsMAX+shZ7qIJONjn3WNR4
0nF9Coqknrs7yx7zOUTKR5qSiqXEo+f0altSkHuXLMw77J9Gu9T+z9yLLumXqtv6V/fnm9D3lP+3
a9L/Vbcn1wPC8C94D3VFkeE/uJi+v+aPyxMF4r9hsHXQkdbwFi7mv96fuCX9RsGHDmNhZbEApPwb
7sHnqqTzn7DAs1agoeivtygh6C0SoCO4XZH3IeH279yixIo//nsTsg5pgnZI/rHIyxEJ+YfMg0Rd
MiOGuRsXlZYhRSsR8bB926HdOPl8cAmnV8hFcQIDLrXkJTaBvxRciH+0EfvzAISSKUPS5s10TJYG
pahuXedrUSbukSr1BKsUOZ9rtOHiJV1Ec67bRf+R0c7jB0afT32gE8ad1yFosPap5tRPOCxcnECN
PwxXrHLUeFHSqbYJHlPGJtRM3DNOflm9qKHRR12AXnfW+1mmAYn+GBGlWswNCsf7wCTPKZ2gWw2T
PjPJwVojCICE8V0053tAvrfRWCGMCSdJLzQ9jse+6N2Dpnp1HOoyQ4BIq+luaLQ99Snmpjb9l7Ga
rH2iFR1rj7hevyt2my+TzXHAioq9K1HvxDfwVq4LRsNAoATGsunrImNJgtfe5hFbwS830c/acOF4
XFDFHTYBgb70XL3M1L4C89betnLMnNMIxPqLV2Q+5eDIIvVILdByJJjdauLkqnjKt5QGBgTgHSDy
ypNJsTUnc7zUmShSUayKK/fyasd6vByAf4kk6ehgSacEvz8mBCiM7mlBYGdXFRpMryZ1FEneZzzi
qd0jCXs0SqwCw4n8IehLnJNcKb1vK7Lryo2EmvY2AKW+b1soDyx3tOkHU73Mfvns+H5RjGeO1rVZ
0aNLtpqN2Y4Df/WM41Z2X+VIfjdoSn840yqUX+FExgTuqjyi8K/os2OK8m1tVZHfMVirrZ4yPUZJ
Pt60M8vuFVPF2xLpfzPLnJZMTP5XXpbX2zjWQeunab7P6+TGSOV039GMlLLPKsxN6qukop6pi688
j7E8FBavdmhmHq0jZGY7yvlm+0jfptpxvrYftSmLL7NrDGvn562DUt+gvXUelUdBTDkgDpvWN65a
iwWxsOLiKmOGNg6i6t+TTAxduNTCvqUshp1YLWRMe7PQT8Aoyx02PW0/0JOzcfnrLoVjyb1BJcld
VXfGuulhqhRG5CKSeSNAM1PPT6vDAqHUbNmVUE1zHEadaxjAPwairhBnbPHLFVMYSmemz5ucniy+
R9xjOpaBvoivnQRRYtML50xQEi7FlEfvzAQ+deDLwK3SEtu8yaur3nDlE3b9a4o/7Lv1nQ2Nv9U3
KAJYwhrjsmRcKHlod6HHtm3HoMkdWlhS/1Ubs35T23n8GsuUoHMjyMYPsKfaAklyTp14n2VDvico
SRN6swI7wU7upaP8h1hoNJRCZjl7ufu8mPpNZWUY7liln/NlsM/Mh9y6s3Z8sZuadpcsn+iZSS3z
rbTXyqseikYcjIVu3Tum6LcGCflfGgBcys94NXb5knVHMKJfhJF8HIkR/EitnxufRhlHPEiLNix2
9kP9Jbw5fmQ1G+sBAEn7k11juq8w0vFnSO0IS4EoPzyYoOmHAnYfFoQcvG/oQb7bQmeYdlYVe4fJ
pu99lBXbph7g8q6zY4M3et+lJ8NP+scOCSkseH0e26m5423Net6cz/6ISmTnkX/Q3ERC9LMa98pT
Grl42mi9HxOdQbd+4aVQxevqB9qWvyl0Rp9AYnR2tnMtdLaUxjFysvuuVB49HBgzct7dD4YGFDkw
xtnE02FF4dihdOvoFPNk431z3QYWJUG1oO51670uYqCzSY/VdTTowiAobL+BCfMx/svlvkY4C7lO
ji+sPCuIm1l9MQuJ0jG405c2VThwTKv7RXMWarbdLNu6SFpiG6b1amI1u1kM5Khh8pbbubLrnVHg
djVZm5yAdeoPrgH5NYQkmze7mjaNbVs3+gdmfrURU1/fA5kGLTyPCeZUMgaBMLr4F7sU/VDRz/dm
cSPQNgtvre3CkRMmALUc6tOSkUI8Tn5vRPZwvcG5mM0Sh3wirZ2IDerCGl+evNFOrmpfSYY31ikd
eUleWT+Zf6Yzhh0b/1EWNmaUbFp9LrjlGGyXowm4CKVi5nFR89yHxBx+liX+MGOqfW6xZn3BsJWF
mtWoM7SU8a5wtS3tnv6lweSXBhjbkuhIsVp+SXSj2bBVyt6LdjAfM7qWL670MD6ORovNwUn8e+FP
SIVeNx3rKUoFkqUYwyFJ9Rs1yPylhEX9EnuVumXZFj3LPEpP/QS8IRm95clQYt4mep3tZ8T3bTR3
7EBpCAZ3w09b09Zk6t2xKpYBV5vbPwFIomkuFS0dIinLOMemBg19Rb9tWpclkou+cVWNGgpomY/z
yUY7zIEXGibYG2HxOnbjq5jYmtkDlj4sbPhbcaUtV0ZqOF8mfz6dd1GV3pKgHtlF6P7LvNj4yMTC
g96rEPaCNm7TnZPmztlNpXyM3AEjqkbGLseJiFCx8cbp3De12rWUVlX/3+T/83tB8V+tFogZ/svh
+Prnp/po8z9Px79/0R/TMSsEaI9C/D3x7C99RevgbDMzOx6W/dWs/9cVg8VwTIDSc1g/ECj+exaa
/u8Mw9hH/2EY9gTQeENYaB8W71TxD8NwYfUaEkQynC3qkYcETZ3bLe8iSzTZXJ3hEolZlpifES84
ANEx8lXSsFdxo11ljqL0UDwqvv2LWmUQcxVEpm9tpFtlEvNbMTEthYdwSftXsQoq6ltbGVaZxe+8
9NpcpZf8W4UhFGduJbnnEAOldd2tcg1Zo2anD16JHqRXt90q6/jfCg8krvwZw/h4teI1+mBaxSC9
GWFT6YlGpMyr/fsi8cp7ZXbPziok0aeJpLSKS05jL/doVup+hc3srFWEWqJu2mqj1V3lkqkQAFBO
woCeMvFdWUanXfHYrz1mrkujWfpdbibWnrOGp/gtqffkhRLCfg45UOTGiulG8xOX6e+7L21ysu2g
C2qaNL2aziqmWc2jYo0SIAI9DKC4PAUTZQj1d3ms1l42nYK2fJpw71hraxutP+m5SSv2NpWk1Q0m
GiNAw+/wqVhb37xxSHba2gSnSrInQbL2wxVrUxxZJ0xeGV0it+baJKdRKYeHINsRmMjJBdA310Il
OOhjzTiRVP25Wnvpku+Kum5tq+Nk7Hc5InHYIePdeJifDrNJv53b6OOZA3E+eADCP7K1Bw8bX/cA
8JJyPGLA+bYyJV5RlZAmKNcePXJS+q4xXG0DIqW6A+9tPXRr8x4Zl+LXbLa08a29fM7a0Fe2tnZt
pS7YGpQ4XiukWrr5fI5c2v0sRaOgsTb+VZzVlFrSAshQqBFNUBMKe9veGJ0kqzjRG+h/VwhmvHGA
lq3Ngtja2Ss0ykCz0L7LB6e1h1CsjYRVu5YTOmtP4bw2FpZ6jYGCfDimL/ExmIN3+maFEM+R10IZ
cdiv/Yfa2oSYrJ2I03c94rA2JcqFBF0R057II7T4ma2NirokaJmuLYu5nUkJa5nuRRxA1DBG8VrJ
2HzXMwIs6U9V6ricX7Q3ptwrA6hZ2WaNe71ivtFf1Nr36KzNj4mgAzJ1JXuRWjbDndLi5a0puKwE
WiGnk7TT+NEXuX3jNQLBXMb7YXDZpMBDQiXnbpjbVgeFeFjYkhtG5bI0adYeWJBkG6ft3BzVrtLY
yHkOD+ksi44mns2jPfNwDvC4YwNiAuCW66iofOYYkcw1xXKo4kbfIvvb21ST+sVNjGrcQ+tHT0L0
3ypiMjdlXMY3KhHmxmkc671gv0KgFR/bSxsl8Jknr58fkNCsOIR0rIG/N5ID82V51S8oX3Qpgo4O
B62xh10lmcKpqsB0r1HjVV5rGKCeXaNqqFBw6kiGomkiTpJULlTg1j8KQ9fXGbWcLtbiljzlczvN
Aa4N2nM8tGCFM8P2IySDeAJIYGRIshkM+h29gZRoUd813ZmFbryolsriECeGks2ucGrWtReDrS7F
WhCyyx4AE5NJXPphPM4Oq8pJBwb8EGERmZ2n2C1ld9+tW1ByCzBIqqtFmoRdws4jKiA3YjDz8UFl
U+x9iZj7YkUsqdBH+6kk0Uefuifx8u00ilCzHzMyh5HvSRcoxYML5ee/2zzw/55IxmQOpOF/LZLd
JGn9J3vB71/wF3uB/huP3FXrIt+/CmQoVH/MAJ74jeYsg9Jv7y8tXH8dAozffNeG0kHih63ut672
R87P8n5bH+AkW6F48OWIZ/+Gz+CfSMngmI0VKOoaFu6ffxLIopFKiqSy7SP6kYw2Zrbk98mKtGJ+
GEKuT+2LT3JvJwm+7wyC8wCasPJRETA92ZUn34STtS/cktuXeKIy4O9eyf8EevpPDAH6NHR+fL5B
VEbnm6z9dxlEv/cU8WZfHLNB1B92Inj26km1pobYHTdpMe9Z+mEHknUufleFf7ei/Cd/NzPXn+el
NZ9pY3nCF0JRmiOsf7BgIJ3hJ+7ThpVf9Fo2EabBsU/9y0rodtiI2u7Z1Nk+8TI57mkSPvG/TKXv
01ItP9weO/BGLrN1FRe463NQmeQsqMXYqqZ27tzE48FGlsc+RmPZnQ1pgTjWJTZ2LNigLUv0SjG0
5U1izsD0KYdm5eA1LCMRy9xN3y8cWl6faE1gQSYF4uKYb9x8CDi0GX6p1qtPbkuZsKqhesNkq3Y1
W0ZshZ3lQVJt8PuxX6R8xQKx+KIppRGVcB/7aaHGWCwNeWrXkRVOX9qjNVIQVKjW1nCYtTIKcx6f
Ad3M/UwIZBzIPEYkp2RS4RY3p/m1ytbUsYZYdAZTG7E/n7sXD08hlgCdUuhAB386cD/0nINn/Qd7
Z9LcuLFt679y483hQKLH4E3Yk5KoplhSqSYIlWUj0QOZ6H/9+8Cy45blG67reNMzKR/7lEQSTCR2
7r3Wt7Jph+TdQ5ViJWsQ+Uy5Tc9qnsLOSB9NjeZ0k/JAQYJqekAMfFNh/hrD7dBRD+x6e2RgmnAr
PQF2iMm9aBovX5Ep015EV0k0Sf7QHeHQ5SjKLCKhST0L5FrYAy2ZxBPmrmBWFqzKqM1sJNpeLQzw
IfMi9VUmCto4sQhSYBK9StWM8LtGO3lwcWzC3Ed3vhpc94ufTgHDK698yEo1Mnts6BB14F2ZjjDu
WsUm0UBgVhXIwMF9IHDH2M9WEL830up32NApj/t+w50aIqb3i6fZmnqbiUeXngh+STeB2/pvknn1
ARfevA3zuoW5hRJih+42RjGX8kBZN70zEj4EVGGP4kfQVgjGUxiI6BlNC16yQeLYwqwuf3MGs78X
GBJcIp/94jdYc4u0eIbC0LgJpsmQ7huuln52wYf7WIk23HufZEw++BmFZedSxERETX7CoZOM9arx
yc9ZR3bUxOt0JGN8FVAHvpepjJJg1ap0j1p7eGe2WCz+KKQVcgXboDfv6Pyq5K1PcrK6MH84FuHJ
KjrN3bygm+y0/+KNSQzsmHbCG5bLlky+sBsVdwVhMb9ClE/zjQrbBvNQWznJtkUoa2yrKJjuevLA
J0y2fiu2XW/MyafJrqbpQJLFgo2JSrAbVamKGIyEjOvFh0XJxWzMLRdSb6l4bmfmYUaLxaOgLW+V
BDS6aUy7etMVbAuhppylPprVcYKU90Qre9kMJZ8/wwV9n86dfyZ1pUHDaYW8mlo+G1FZ7idUOmLY
Nq6ONDNjR7+0iZdSqIGZNrZjTKxnU+FwBntQv8JlrV4HzlHoPtwew6McuJG3mnG3sYLt0H0z0dOa
GFKUa57DaAAtUlt19aZ0HpL3YOTz7rqVh3xyxgH0+rdtujCTM6Ptz2Nizc+5htJbrbPBxgS9HyMU
sehswPpPb27XKbM+BSje+UcWwzRjHU1EZ4P9FPPQfylj7CyaGBe3fEPvxVAX6bYmymD2zo0WvOMe
1JixG2gGpkudh+eTM8P9VEpg2mh+8REgmBgfuyS27h1wpoo8mSC/V25Oo7GMqa0IWel7GD5+iyKg
x+NxCxLWZ6TDO2Dtcto4lkIEPTZbquTVbLtRt4HG7X81+nLAbJcoxFd5jKMDuY83mSvihAK1ko0/
vFZ0CgG7TmGxCby0WkUwxI8xY4ZtNujqmxbtZ3scvGMfhqlL9lg4PHbEVuQbg1E32RJyKbJFkBQ9
cw9KR8dNo53oUFRLu4+WgBtO2RJ3xsXK8HCtfNm5vzIN9bCXoRLdVQNTDqui9suFO946eQo/UvYS
aShwsVXboJcfG+o9MtqUuCFNpz2GZLhStOvIuGQ8Z4DT2CFpHyFGkpVoCt+iZ6UxKneVhUhiav1y
2peDjbxJ9F6qNuzjxM/GroP2gA1fF7Z++U/h+L9qIC3oox/KnUX9+oeqdZHX/t//c/5t+K/DW1Fr
majf/lJBfv/JPypI/6o55TDt8Mj7b32qb/1C1UZ2hBksuELQkv/dQqLvxNjTJQhw6T9da84/qkfH
WnD6/HXQExxCkLD+m+rxA/KLiE88Z0x/nYCzUkAviwLqh/IMLfoYI52ZQZ8yYLRnWv+WFz//cFH+
hzqMj/jjCPf7i4CuAv3I5/wbQpDIL6MGLjcfugyCzujrGQpx76/rzGl/Um7S3/vbSzlcFt91TN90
P4IDK/IBmzS258PYJ1CK84QJlIXTgdhPFJwQzQ4FDqr9OLvOCsdq9ZOX/9vlpAKHAonIhUOBDTP0
r5cTR3DgDpQ9h7QcLlbhvwSJ3vzzxfyAAVsiU6mlmdYDLaQh433Az1HjTZ0ZiebgiuECdfyZAq1a
d8BLmcs2v/3zi9kB6/2vF5TymRKYGb+Dej00l/H8DwuEgCgHYofWB2ewm1OcFYJUqNAoTpnLKT7H
Z+9c06OIE2hJkrJxGK0aBEdoha9pU7TcGBBYMd0RFH/ZEQMiyVQ8RkL8H9fEKg7q1FZWI+plahOS
6RTi3k4L+5uVDnsO8u3vpbM85FRrWs/YWQAsTWFXsPGV9lk2HXMdmdmbzpzG54nJ8y0DuyFe2bTn
mAo0YXHx3Dx+SSa/Qm+p7Mcortx7ty2zJ89FTNA7GAihfcfnrueJzzk/4snSNSik3GbXd/N8pBNx
h9um39lF8bvj509V4vzKoPqxRWTLqDooTrU5fo17lM9hkXpbmvsgKzh2bbJ6bvYZ5dha8cRydTr8
xvSyOfqpvK/JXWbCy7TYsYpuSyvPO49Ya9eh4UUnK7affUNEp5SiZc24YvF29zCwjJAoRJ1sJpGm
5zls4kvrAbnoAvqPYR+DAEfIOA5Rf5iTPNqmQKPvmGqvO4nthYJquHFj08u2jJLaaelpxOGRXgWE
hATU/aXxIYlK+tprK4BPVVPxgpCpBQNximnlfXZK33iRWa/uywoGCM+y0bpUImPyrpLuYNouRwSl
wJGBfZU3UdGouypH4mSVTbZDbcUSKRrkblU1rdOhFMhoO2tH8Wg+O1VGWlTPxN+QidW9dokJ32Jt
TuIWln18SSQDuTIhSivyCvDZjYcffEgWjjVBbbdRJNVjPTM8KpS+jaCvvDZz0F4czLMHfCriToy2
dyhK1gIyq2TXteW4Lwv7VTIyRbaRYHJMfXsk9iYJH03k3XuCX9XdHBvVwxIhaKEWvotHmnVIfHNz
pwZyIyrPpUGZeDVt4dFN9ip0upskIlUR1LP3kKDfjiIb+mDU+mKpyr+mXSaR9bkvYx+fnCJqcOwM
j/WUfUaLQMO5T4lRw5l702r6+4nsGU92CMkIARB7y0Zgh3o0P0w4H49urZubqTIXSFfsVvfFxHOD
FY14h9CA2Hyknp/etIEYniQBxgRxaty0sWeRsxViHMqp9/CrgczKosanLm54tTizMfKEhmFjgwZ1
GtUSCqURRK9B1pZrTmnhPo6i4WZkfIy6rGP4FRpyTw824t5H4kVkNriVqKOl7GYMEr18OM2WFLeL
TG4XpaRRVNiHaTgn5cbz5Rv+gJdQYHeI29Z8StA4H6ze/gq85tYI8vhTVplUZz5XGh/mqXWqbt1H
meKYCGkiGvps0wRw+r05vTN0Uz8ypss3MOHeQedTQAFs5rgdxf0xQtK5FYb5iP901yKrPKRGRxGM
Zns/kx645ijcfAY/5iN51IOxqQkG3XVWZb/pHgR+JWtvq8cdaaf2xXXrcF2KTJXH0u/1Q2fUNsI+
MzgmxWDjV5b5elwatVJiPMO9Vc/nKM8of+2onj5XIshv2ZDmoyA4YUXj91VVnJ6tMDBWA9PJNb0c
TAOmvKU1sJc8ADB8UDlzpuUkkheiPOsiOOa99TkrJO7iSCBGD9SJSEsmySh3NlFmBHdxlP0WYQZA
l6q3fmc5b53p1N/Szu7va+Y84crNuffYErz7ZKI/DX83PxJjqw5o/LJNNczDl4oRCyIKxSubYTpN
69zjBsLDOi4qGiN/EUNjMuCcnUcghN6GDAKxFnmR6lXl5jaqfdluPeh33Cfe+F4UE0rVpmREqst1
xjng2SXF8jCFCR7nRuULs2p01tBt3W0eQJPtZt+5ze1koGdSzz2zhsA4YBXm2Nz4v9IjQxrck825
aSI3xYAX+Jdcj2IPsq7YKsuZsBNPMCIzB7uiF8pDl1SEtY2de3DRt997iSDxzojjr4G7Jbxt2ueT
5PL3cvxMHwt2oRMGjGym/GITJrF2TVHDIW0z65PTeFsPBuRLO2XO17EnZ9VT3vyiS3tDEg1gpbRW
6tyJusWDn7LyENgfcN+QxkjkzIaH5+9lpi2aHyrbeXGkjyQ6Dsc+tdkzvgcvYs5DXraxlkjG66P+
P93hn02JbexeP1RFfy/yK9XK/1q/0WRLPigpv//on1W++4tDw9fHZr1U9fQcf+wToyuj/DfpRdKh
XfqQf/DgMJ0xSaB16wYMXfkxfurPPrH9C3+VWC1AcSyjpYX8L/rEVL8fSrmQSs6m8+x6VgDi11+a
pT+Ucv4i9kGAnB7gCcJwFmEmQUXS5Ro2Vq9I3m372qzAkfkS6AOmVE7iFmptNlQsS2trwGi5s+ex
yLaVW8UNM8lKAEGpCSGiGyht/V4kbnDLgNo51kjCztzy5H87HZPNyeIxSTPWPvaJYBscCLmkR5OT
zMcoO7gl9al6LTXt6NqcIS1CQCKXhdoguBWSvQqrpTgX5G6X64o+grcch4N6b+W+VFudGcuPXCGe
GcPCB6tpw+eOURJm0nrJlID0NT7FMCyei0SMTwrb8DHKFl6rXY8+aE2rzKpTRa5NcPJCX7/rwCTU
qiw4URPNQdpyeU2lcVAOksFKYyZbEoBXNTQsQJ5WDHtY2OJicjh58xfQZ1UZ3cHupf15HoLxobTh
02rbRE6IvVScY2sJG6t9cpm+J/+g2170hGEK+IxZtn6nD80V+J5mg4zmlYe42a9GW/HXnBEMe1G5
7ttEgw+HcMwb4EDAux3AiTyYdoz4JpIUp53t0cD0wpFP7SzM5IAG6Wuemnx2UkSJ4OkG0z57DlSL
kliKs51hxQqAkq7UkEBHiZL+aFch4m9QP9EfGR0Y2AmQKMYCECbrmiv8/QvNzRjiLWaV8Nnqlm+Y
ym584CvV+guJqohOh3qJuR4BtBYbU+NnfzQKi49QYZjGINBL/gx0DncVLimIazxavMfveNRhQm2H
to5Mr33TFjgU6uWR96I8DeMzL2YDjMMw/y6jJcPI7MvwecqHp3bW7o4eFVQjAH/w8iydPvq9g30J
/IexrkVhXUqHBQgWYlm1BQs9g2oS7aY65jfNkcWfvmQazzthETH+JveMTZuzTduzGiyl+WZDuyUU
7RoOBmW7c+7IjoGiiyOLxWdYkEGj3uLWAxLbvvu0KeOtuSSVyaHhJsQmwRdc1TAdGVjHMFmztC6n
U4m3PllnITyAbc8SRazFbXlbYTFwDqAF7aORolhDU2bzvpO5A3BcYKwEoQQKCX4TDYxVJDpQuuNi
vCxng++uX9bJFI71a7d8RYGNb71wu/o1EJpfhpgq2TPWIePIAe9Pzy7c1o6oX8EDRM/XJZwY5GLR
L+Xxudzsi9brNfLIdaNvySUZyCh9uGLLUf8DqJZIGnZLVsmzbYVcuAWHaq/rPGDBdD7RVDnmBlbA
ckt0eZ3ssTpy8SbSqfeNycZB3GbzCq9KHRq3hpjqdZ64OLjwno3U7IHWMTQhALmJyZglPg7cWQWE
mwZ9AgnEZfZBVhcfxwTO+z1ibdFhcD+YJgvMIOAXkTGMKIA0jrj0VsunBk1srTgf28TwkH85VHl4
OzcwZlbtNfKjgrsGHMgIFCQRX0v7Ib3inw2FxHhLSz/cmJDLDyBxTYjkaXjrNqOxsdFKKuAbGZ/X
HtGV7GY9dXIbclPQgFEoW+kCsmMVFpLRp0mPyNpTkh6SqSEcF9noU7aESTMqIpmrIO00AZdZOEca
8zAwWgKwTHoEl5YAeq4gHMGnmoWOM1VmzWtmRs0h5JSxx3dIXBvc2TNJq9i5Aslw5JOGde4cxo4t
0p75wGOWsaKMEJvQhpGHuEQmVIJTXPnAKO2yIPcNdQNcCpOo786xIPX2A99Snix8/IQ0jq0gPsHm
zOCwwCF487XS0nbfTIw68ETo916aDpgwjMABDbCC9LWIN1gvQrdkySyRNQM0K29VoOQ9J0syWsHA
R3FqISx824fLygFsU01I0hW/3qJ6eo8zBLCJdFndZJxeEK+Hz6B+RHrjIMc8oBhGqHRd846FenBt
tnxmwDbL+u9wiZ+7pId27goiRPAe8RL9IJoWob0LS9okKj5nEtAGm1zay3oMJzDGdROEz4a9ZH58
39JSLZJiA+yepeRGgeqOaaCxFjHmGdSWOZV4cDzurjzPKM67gctrk3p2veOKPnCeh7IdxXpsXCV3
152VbB3h7Qea1c8igW7yPMTkZr2417y/3Fl2KdETt8D0zH0LlzSetGuKRyE7iwC08h2ra3hUNfME
9B/m8nCOYnbgMCfXfZhdNjKkFdzBQRXURFZL5iASe5WcDmw/djFsRAwgQq5ikEiCXMQ5vClK3ZJ+
7EcjsX2cnPPHOUU1Yya5H6yhI8XPPEoBtLduwVdUmtw1NNDZa7knITqwxVTA/C1UTYhMvfeqLJ6r
WKhTGI0d47sJgSR1iE3f3QmOVbg8iGAH5heEQTWIuS54QPliRty7vb1TDUTPRpBJ7TLiuQFwEINT
jeXnBJpqvoIO/7Vpra1hVc2tBi2wVq2/Nv2Ue2DVFaIwhkPbTkctuxoCYchhZwmNrNb4wF8w+e5q
zts7w/PDh9rpV2nhP0UWwr2Xyctrg+cEvuvoiAmgYFfFLmE7nreZbRNnRm3iALU8awYWqRFWQ9R0
0jUG9OIgcG9JhKo1QEQns3dZafUhvNF5x3hoALklM4ho/jAxmig5i+8mD5jSIWRZMt8ClEHSui9D
Iqed+T4YW/+k05DHXDIifBuNGhrpID5jFK3uDASz98mcBSffili9gvxETwZYEYK0xl1ej0SJZH53
A48K4Q9xpWR3G+74Rghw+nnyi8/At5v8Nm+089hk4C+NVg8BE2cV7oLe7gl1V+E3GbSc64YQeBiL
jBmZn2wCNSlIfynCtZ7h+jS2gOOCGgm74yCS68DD3wVKptMd18t7T9ug3M0dAsEpT0wyRYfPTG4g
9yYAEPxo+NpHI8GUqf8tbsbpSbpTuRGwwHZ2xkjJal31qE0uK0hYb+uOxfgrM7OLgVsaNbnWd0Ei
58dintx15XcF03WAOlHY0/QKE2cbN/rSLAPslfKojLa6aKo74OlsUTC3CG+V9Tambjh1hRInC9Pw
wQ0rfczCzrmtbGDFXLRy29P9+wTwrwIw0gRbA0bdKmXHoildZA8oN2nYBSdjzsQ9DwH8lg60mTgw
vGOOK/oxBoFll3Z5sAyt9kiKqFknRnFjDFjUzfjCgK8aDBdHeCd47jA6uAzgQKKSa2c+ZSoNbqsp
bz8zBjNup6JG920EPj83ULt+a/ucHlDEEOrUjmUD86mtvqSU75R3HWQJ1reVXSwVBQfAh8bZxJYO
KV/4myxwdogfsLdWWYGfwPffjKz4MhpNltOmyZfcUqV3BsRfINM+ioEJtcHejDK5doOM/hkurc1M
bxaesGyPfem+11Dgt1YriDWszXzZrcRxwhDyFjG6bDZRpccv5DsSL2YoKsHELDdTZmbbljb1JWrY
Udj5VbGlQZisjMTyD6bGCAXFc9poi36FOwBuvEUbSx+utjuwpGwkaCObTeuaT6ATc7GN3VzhzffB
SqVPSSTQxom0WCxKs+7jdzb/eCdTq9nMgaix6fTA5GIZ0fOuUKbuW08abEwqQReRdcOzwZk+4LFH
ig5OSSE3IIU4gchm63uquks090WCHecZ9F1+nD0ADwAKsx00gnnbSZN/TX3042jVPg/xGLDE7aJy
jBM8Bwo/NlLCB3+FLB7fxk1xln2rXxbq7A0mijsvK2GSUg18KjrL/BIOmpksTMUIySxKFHiUXt2Z
xyKDiHwyGjEvCgM7DdHX2l0zIKFbVCOA1uzoPmJeSjVL835Fk7MKXqMmZ1OP0nSoJ7bvyQwx0ON/
oM+TptXsrq0cyPMq1gAIYtCfZme/YmzhqbugnT1AkIEd75AAugXMA8V/p8U3i43pFvD/exx6aut2
1KDyGuZVDppCxOsdnk1JU+fTyRTz+DRZg7hQi5K82gyU5XQh658piT4KiULBeR5Xo+cFsGOuku6/
nJ17s1aFauSh9jBb8OSjFOyI0R2UP7JJ27r8hKEtcI5TxVN0M9qVzk6oIPqnzumZ98t+CJ9xIlC8
M0ihnBctVfU1Gi92ZqqJJEavmEdk1CLy5OhZhiYRC+h0OLxlvhohcNGneP9eI9NYHJ+6eTmUlBN+
MdQZQM36dB4flsfKW7IEJZToh3DowtCkIPuhAfI/DPSsj1MhLoePmMRDw0ZH429Zf1IYTUJstbG3
pctXYlUzSRNBt1Re5ci7Zx0i9bCC3vhUWjNnubGQvK0p6eZPY+hxtWIbfsTanY0l5tLhf3Kx+HPE
BRhD8KbCtS18cqsB2BreiKEj2KWKOZCvEcuSDx0DhDx8D48lCIOzJF5QuooB9cn7P3/Yq0Ttxxic
ULg+o1YfKbNpIjVfRPk/9E36ME4MmwY0BNweT184jZ2GIJ7R7FduCPmirAssZqNu3mB9Tk9NS4fh
mi+dVKN6KsrmJ5d/YRT9ZSi3rEbTdohQcnxb8PD86zsyXMgCHU97SHRkjYAEIjalpZH0rGnMcBFI
sOHKWSSSOQJ5S91zKihB6eR7gdIFXr2ul5MTx5F/vlQfxX50mFz6XxZ9Jsun2/Rhmsx8Kcdfl6SH
qAIXtymqigTc2Zk7/cWZZlLAnCKkaK9KOs3eCojzz3Lj/ofvCs0fak3BtBI5oLUMaH/4rgbpiWpG
S3VwxzCA/VfqONl0oYisszC0jDmTRfU+sRMZQ7yP5nJbA7s/x2UrLoHZiTPzJw5f//qyMNGwXZPT
LWPUjwuotLuowlsZH0q0S/tmpEjejgkAdg4uBI62WGmLTVfMnCGMPq5f//nVP+bbLReDl0eJShaM
ycX5MDEuJz/ryn7mmkw5HYNUNBMta90ERcoXIicXzIE9BPYl8yPjKJZTaunkhLT3TlMj4/GmPiOg
iBATeWiXRlPdxGX6+zVleiiXPOjrG/5PJ/qnnWghfio3Of2m9G/TX7Um1x/7swtt/xKyznwINGhf
v/uS/lAr+y56E1aBj5CZdWDRH/4zlETg2UdyiowYYYFvL76iP5vQwS8hv840+X9Mh73G+zdNaDQq
H7cu00VGHZBkFvAAYTDz1xvUahTDVqh+h7A3EpscZxuzRlyp7EZGvXuDr7jpP8WooU6VmciObnHZ
Psra6It9lgrSoZXqAVITbZKsSf+xIccrKv16pL6A6p880iYwwUuWxC+HmB1niCfnOBPS3kAViy6j
VbpfGEC95aCmYn7VpWdS9KnNqvlRq/ACcAryZok0ZVV5eaSpZ3yATUzy77rBQVDISEk8aa9C11m3
FFRkfxPNTqn5VJZDdtIKS3ZVBAlAUX5w8LBKsmmO52KsgDgaQjxFs2WQW2GEv2tLgQOu2SWHVV/M
6kgkO08YZ8zqN7sHCD4POlzPjk5BDXKhrnGbypff+P5R2Rqanx5Ej5kjU3OwRzkSVuu06I4zrM+1
b3f8oHYHuGEcGSFnejTQwxfqBOSdZR6YX/yine+8ug/XdPrIYQEZdABeBFbA6Hh1EQzDChz6tNNJ
G5J1D0MIY0mowCUnCdbdQSO14YCBGsOqY+O162z3E6LVAtYw7fdbFejQ3A+uyGkU0gqAY9SJL6q4
ahZHegzML+V4H9S58fssh3A92k10yuQo3w3Gduea2cn++v708q5Y2QoFIH8eLVCh5aqkU7b2PUBC
O1N15b7rph6idj2jZOAiQ2FqaXf2naRNm1gMUOFfyVXXZtlwS6iVlETMi2w+4JNR9k66PnhVe14G
32kE97k0quw0O9WxVw7zWtI1GNohbfxSE13i7UQ9BQCxMwdlU1uwFoI6O6Wd1hteHRa51m4CuIqQ
Gbzq+bMy7PyTrNX0pamlvg1AkV/SuQ92YHqVt0ESYZ9gOsU3UQOZLZ1q0qLoJd8gnkrWyBl5ZEIO
ShDP8CHTGceUSye73LsmjWyMyhj6KeK9JV0BzAtayX3g6HCf55b9++AR87DmZFQgKmSGIzexBe1o
F6ZmK89ZXvG7QrquO6/yLNBUjt3zDa96Vfkpz8xMP0VFON0l85CtbYaZm7k1o7vCQzW8hvUULFpK
sVM0wp5zdCj7IiCObJVh9803Y5sUwT4Tpv6EsveL2+YAm2mXlME4pWu0HosrvpsNAt2z/K6Io7ld
a+F5uySYkWD60DtQYJYnrLIOOFgcBZCA8+pBe3PxqA3b2w3TVDy4iSNOXVwC7QAWvy1AfS6c+HZr
hc58ks5yKs0gPKyH3LU/j5T5K5pRsNcjxgerAUTfyiEle83MK2FRASPalW0/bq2qhe1tRilReoM2
oKPb+q7DfniPDTK7wVrlPtDKIQGAk9cSk4aeFxFRHqUUYiHDasLRus0wmv6XfjaSu0iI+NdJpSkm
1+pIP4TmUB1mm5I4xAHAN6XCakpJulub/Mzb3IRk7BqpImMhrormUxOCzoaeKCSHw55Ol5GV8+fR
nUzsVY0898hVTrNZV8+G5057q/ExddgTrnM4pQzDtuU0i5r+fwsOGFMByPoS4PXARiFWHcL+Te95
080Q1dWjHGfcI3x+mxw1TsPHuqh8vfHmWJ26iIwYY/KWBLYBTciqWGLhVmbTdWtyi+gM+mWt1iq3
5MXzgVyg94IcQHebygKS5cQBL6HblFqEGdherdcq7Me9ZGixHqbijWDAZquSyYL62PjnauoQyGYM
QVadJRFCD2MKG7zEy7KGNqseCDiEkAS2AKUCmzloJXYl7XXR63VnabI2+j1keHnKK+5QC3AFbMjl
LuJsS38GlNmzGopg4xlQIwHMgdfG2c4TBqtIuR9jtmc8bJbD7TBYT+CxeCFYCCN+BNBX65wi6W4w
B3zncjDC8sz0cTqDNK+mTVXN7ZYZ6nynAuHe/Kdc+t+pc4X3z4N71LmvVA4fiqXlh/4slsQvyNis
AGWj8P/gxP5ZLIW/+EBiCRnzvyOOUJr+WS25v5hITAkb9tCT4PLm+PWnONf8/4lw+ziwDwiO4/FA
HUf1FXgfpZ7Iu5veNGMeP6QPMgEsY/feVkN9nvPhX4anO8trMQUxuRahg77+w9GNogkEaiDK43Uc
NGO5OKMMYr7HFbhtmvlnabYfj4q8nmOClPIXsBRF6Yc6kGeh5TPp5PWY43BYpTG+WKaYQLSjYx/L
NiKW0x4DcSFqwbr885HoYxHKi1OFMu4J+PYQuH74sI1BU7DSCLZmRVRIkRdMlnLRI11Y+kljNIfP
kWX+7CP/TbnLq3K1aPcTII3w+sOpvdXQd4bAL46qEONDhhLqHeUE7ZMwIb/z3ycGI0QRLFJejhYN
osuPauTUNMaarnSIninCSRbUKCup3mi428ZXO+q9n500/3ZdfdoSiJLRrXNxoXX9tbiftDDnOBr7
Q1eNDd18LyIrlXM/U79gcOjdTEAPz0FeOkcfcOpT07vlc1kzG1v6KTMOK1/7T2TYWd1K9W5H1tRS
KYkxHL/QTfrJKqCL8+EwgkwcCQj3PiNcTk0fcQplQY8gLVra6Aw5nAtCBDe60XFOIzKueOqSFSCG
E0/kKcdY0briwj04PRk0Nw6WKT3vlOiAsflUu2+xrWnuSS9nLUG7RJ5BdxhPjizkqTctZvffJSwk
zBQkAi0h6Z2ladsZKkGlMllzsKtdGti4YchZv07Ea2ManwTWwIcoWdQms2IA940JC9FpnprHHrtf
Y6U3ymbG6bFLeJskIAbgsMzDXwgyC6OnRvHEJRIwbRiq+noy4sUhJoX4jVWKJWslQPiMd60T9s7j
WE7DbWlKekRwgDmUcMxkFrRsBAouCobuntBjY2jHhzBrGHqDu0RAkFrkbyum5EvUKbruvkdGUNj9
gwnbu1iHDak869FMF0e2ct8CZY5PdKNopBZ9hLIFr/qT0TBZdtsu2CRzQpgv2gMElQgUXr2qxeYF
aI7W1rXp0DmKT0rdjXYo17wgnvDomfiPRUkAAuct77iO14Tb6yy/C/nS5qAJn4dmdt+u7bJrv7Wx
B6KBJ7IKAkKRl7axZqD09H2tSnwEcAGQGnZ3STbqd8w8NNvQgJGDMfW13uuhp7Vp0KuXp9CPkuKY
NUZTtCsP8Wa3bR1Lvlwbv0HNfroB58QguZgWxRCWIeetWuROGNa4+Zd+acjQ7LlGK4lqtlwauhwD
yfRDa3yjrkoFu67GB444ZAn3nsUl5e6uX8eR49Y6pm+1iNUVX1IohX3s4OEhoCLg6CkZnJBRL6ds
mj9cf+yFwDS7wNnKDB8qQlP4HQ0d5/P177QRNOOCKGr2jVkeDD7rI6bFfjNgGdt1jWYBw2SjUmqz
oT5onUbRjUD3WxPOMXTEPoxBiPgEEhKH5IBBHlE24JrOLWJtchiCIrPGT7VXmlBwIhhA/Q450rQk
dfEDJYFK5nEQrY+lDCg5jWWtSRVEjNGlw6aJidZ9qmtaiCuJAAqFlOza6Naaw+kV68nw3k9G0yMb
0nPyMEyGNbxoLr/ca0KX95qKd2AeiU3SoDu9rsyMAtrtXa6zvtR2JOnMMYCJynDCa4cGVYINxPpA
pkmAadINFtFxPxyQlo9oqKvx4hUdoTk1NgfPMqaz42YeCd5SfNEmIyImtd6qnUZB/I9snwbZoO5u
aXV8bZ0MOqC0NUcSwuvGG/rp/cEJqpgK1wS7tzKr+YxeAH+pZtvkrOWfykR659osGbR0szPdwmQo
+MJHWgEA1JBFlfXcvoeo5IeNNmiab1jc4cmBk1ISS9xrTke+j5OUeT1zJMP5TKKFAe+oeSuFT6wf
Mn3n0EB07fmLNnuOMnuW1JSRgSoF/7JiX6Y5j6OJo1FUEv7sGUhNhlmhl9EYy12Ogs9L3FkKenGx
ELs9miCOnNHzVV5VLyqiiZgExGHZ8DZWUB5S11v0bAwaU8NMX1ChcGNddVQR3uF94tsk3tfhMgoL
o3LDY7TC1FFs54T4FM3HiHfMxAL35OazGb7M9Le/Fsow5uMsnS442gVDqWWmiGjbVgKUqodU8huZ
G663VSVngrCObgejjh8UKqJjHIQXX8rmOW/V21QgamAJimdE0t0m7bhO6KjZ591aJCd4wNbXzogQ
wIOBNu/qcPA/Ib3P/E3SD0cXZk+/sYeGLEkp/BtkZirYhZwy75HYjN1udqznAiv5phrxetMHAvUF
L7iB5Zw7bo+LJCrPOC6cb7mw+fs1Tyz12ZWhFX0LgyFRq6apo2o3kxGakyuUdc4aE6txC6am49IV
BFTMHFC/TH4Addwpg3uijEzyYVE4+YLMNgC0kX6txoBapG5RcNoDeYCZ6Pla8ZirbQKMmM3CyWMF
DEhPoNnS4GyME4+FAsfPxsg9/f5d3xQtArXMm1k0nATHJx2bwZK8sywlTuc0HmQlzt8lYI1nsaen
oIefr3orr5XhrR74agi/CReBYZfynnwsK6ukdvgP/4+981h23Niy6BdBgQQSbkqC5pLXm3ITxC0H
723i63slq/RaVVKXnnqs0Yt4oVsgCSDz5Dl7r53kMA8RQeIkRmxB2zy2ctb7buqOKplYBycnRkAZ
OC6SUrpK28yvuXLGZkIkgIfkrbG5vOvMaMk9xT7OVI2eT7TK15VTN6IXvUzi60S15F3mKGo2i+R+
mCu/2ozNLK/ncaTDeJFOdoPRf67snJ1D2B1PBN5r9J8F+2OfOqzT5SUpXbUg5HS4jUfFoGzEO98+
lrhEubdJRiURGQbbF5O++twWqKcuwslhovYtQdftxFogBaQ1A+sMZiCSrhtBzKW9NbsAUzERuEh0
nIlPnZYN33WedGh9xfnZe6SNX/TsFi6WCVxwSaxbIbNvTp63jRfpnsa8h1mYto56iozaee8mgoVV
dQhB56Zb8BcDuGSMPIr4efZWXDsEFbnXEo1az7roiaeiNsxTA8rg69C1wSEZ52DZ8Jmpci4yQWuZ
eSz8omMnbwOGLXandasxXY1832FbJydrSZm8QFbgjheOlv6NjY/CDCPPUD1F+o5m0B5f17HkiSt6
bqOBPzbaDNbK7BhrVUPWWeE7kflGGAqmF78TpeWTa6fG+DS5CzTHbTonceI/4nQIXLYqlLbgAvyY
Sfhe5cRdiRcM1VEdH5Z5cJCUOctjYdYwcExJIiFZ0Wk4zMQHza6yDiX9nRl3W2KectkhnS2HaZsa
iQK2oHD0MFA+Fdna4H5K2sfaZ2XJEbgikQjSk8EoajP1CVuP8ssjbh1BBANBacU4X8wObliZEQ0S
LzhL1UfbtrQfYp8l3SZvZi/MWITdKspNtyztVT0h2IiHQjxWkiUGgxVxHRkdlo3IqUgGt8y/GqmE
eznVEVERdYkCs53qkDdwJgqv+lqRtEHE8F2ASPSK55rCYGzNu2BozDsaZXi/YSW5vSqRBjrtjto4
QtUyavmHCXWnTYhflvJOmoO8WayxeuBusy9XS3Fi5ytxM+WQC3H+b/3S3cVBcTPmCI9sfqo7E53t
S2O4I94Xy76tpxJYD7ojCsilPRRBgUFourdL8UjlV+2g55tfwQg5J/tbn7IESQ/3u/LID/ePRrZ+
AQ7MDZEjr/AeW+qchOVo4qimIpgwELID9xtF+BsrSKKNUxeZqTfg1x5by7hybdU2N33OPBNTIqtN
6urh9jrp6KgI5FR/r/I5oxlL2R3++nSqT0l/nDf7PucSAmNoLNCE/JPDc52sLGDHa44N9CKKfrgu
FlmKPIm/vs6fTj9cSAhyVB2O/ZKD24+nNcAhw5jVwCi+iQpGhuDPLSKm4pu83JX66HJZDn993T8d
/fUXZKDkupxMJSfFH6/LkbyAubk0xyUr3NfBIEq87BckjzMK647hSaUeXTdhLQYvSZX766vTt/n5
18VRwamYF5wPcZmW/mFCTIgB3RPh1kcyVTmArH5nPaP/IW/So/tLNLlWHaD24FiiK2/0hr+rSf4d
cP7tgNPVA/n/G8R0e7HahK95Pbz+2LW7/OH3rl2AZQY1jr53NnIDS3CLv3ftLjRzfWtNCw/4j5b6
C7KcRojkndJDSB7L37t2zm9gmnDE8GeoBpiN/pMZp/R+fMS0/VvanksDy6JNKMXPJnTaTk3vLp51
vVJMx+sh7WM14Cm2zE2p+huDs/auKakSNpPvZO0GF9D6HnuAi+M2Fcd+aozriM++U61R7mOqB/yV
a39Tx9WRNI7x5LezF8oicM/1WBlPkGIwZVcxps7U14jt0n2aEFWylRFlg1MGL6lo2npT6m3eBX+N
RnUVewvPCYSUKbKJjIB2weeGsurExzxNblxq5hOjE9rZbfQwr+3d0tehlqNs4KWLY9szn/Ipc7de
4Z6ExGU45kFIcfF5xIkSjhkd/XLqsm1nV+om6mIinwYzRFL6KTFo+bdFb+zQjok9Mvv14NQk/Fax
ddDYlrcQTrJd3+hBUyF3xdLddbmSO1bz4bWzBsweXonW2iG8xS6pnkQJo5hfSiJ69IOj6sf0kVz5
OiyFWHGJWEwva6W5xs10BIN916nAxFOdr2xkBNQhMkOZZTY2bFnHxsAC1XmG/LaZCOI4ITe9SQRn
Lg4Zj4FZzruB3KygHI+N1B7fwoKvjo2bsVlsEkJoouzK8AYm6o0zTAw6IF3vQAwP4QC+OCzUGG87
x3CpVsaPZY+BfVlwkFciPUPpUlsbtHm9ensjZSLnEE0Vjjl60ZQO16Z13GNAgvuA4Xfr5xam8DUy
3igbBTVHbQfeMPRleyRW0ZLkBzM5V1cWQ6Vn0nzgaQp/CgnOIFplEQ5pUQbCyMWUYUXNvHF8Cp/R
hXOOWH4XiOxDszTy3BJJiWqaIFrHbsOx72byr+MDS7SHMRFdZgHbL8/a57p33/jLep1Zs7eJ4VPv
jQrdLm3B5OA15evqZB+ydpCHrI46zuhztcNGapxaK/gisaWEwwTohmdCmzY37swj4XfxA2FM2G9j
RkaoO4ttHoNH8sW6lX1hbsTgXNEEEx+UXAUe0v68GPnHVcllt3Cs2mVppo5OhStkXYnBBKpOSG6V
taEXN/KYrDC3ZaKWLceXNsxF987oB+AC3gLyCqIk6aiqPWDSlbvaDuTeZUK/j+zspQOUcUOvrNzb
/scYnNoJ3E+7dRrXeC6kIK2GWbMMvSJNH8sp97dVz8gxyxN1IM+sewYp6oeMJfLHlflE2PfrDVPo
Yg8UfuZknbj7FWVn6KDm2FULuVqDZZgkaHWkzsN63KGfS7ajk1sEItqYl73MvRLodLdp7E9HLGlX
A3yrM9rLMTRwHb2MGEz3o086s4V+e+vGwUwKdtluTKdGE+Zk5gu5a+ZmMITLm9tCpUoabxuMgP9h
WldPOQnt9xFy0ZNA7+1sUEsmGLSMPNm5jT8z6C3dLQGpOePGPt/zUcdrD0gD/6FxXXE6PZAUeou6
/WOKORbEKXLXqQUTOdKKCb2V37PBqsXpqyCi1Ta/LlHiA/GunZPmzG4yd3gikPIKNZN78leS1mTn
PLq0NndY2OpdQnbbZp0LN5S0uIAPBJ8Apz+mePawP90XYzUwbkzFQaXGl1Kual904N4H7zqd+e97
rzpQ1msBdlXtvdjotpw9mlDpWjHxbH8jZPra1tDFYx+bDLb4o6ebI0Xuaav2OGwptNTOYvofdlXL
IxW73Y2yvP1YWq9Bq08aKaPCCUDqU2Ql8bb0gt1ICq3JqwZhvP0y9XgQvJWYIafLMI8XpAQAUMr3
WWFNu1zh5FJD3oQ4kf0jp/i7urA+uG5/nUFxuuqd5Y0/9x6KVHfYFsp2ieBLq+cgmN4WUTeHtNq/
EEAFbjsCKTHHxbMlxrMnh+628a1TWkOtcOq6wLjmQgnu7ouEdktkJ/4WItvXriNrPA0kKt91rA9S
QnyNAInu2nkorrHaEbO5dD4YEDDwBVSP3k4+BIpmipLqWBeVOK8uxufJUu1+8AtE7D5XrNb1GTdM
et9DyM4EmxDtgoWpMt7xXMTFvhsdZ2OWzpO2+9F2bNOzavuruAMNOk22wcGHoFgGKmaYlK37vsiX
d3M0jkdPERg9WvgH4yLZj9YwH5ZqMfb44lCPl1NwNxR0qWMPKK+U+oPPN03LWWugy0to+mNNIvaO
CdR+aVPa4WA2rkRivB0DQnJb8iNsUgRYC8fxyp/WjrUm7WDPRu6R9Tc9AQSDYGKwys0+xsWRpDvO
wBYhImCt9jF6ejJgG2KsZCMOsZe9nafUAWThP6uhP/d02DcYSr7aRuOdiqqItJYeGF3jir1Te/5O
yNI8+Q3HA4hpFQ3AOtoTI1aHs69g436kK1MNL5K4BSAZOAraoDoumBZlAycd2PL8hnNQ6Wmgudtn
xabl6St9kuS7AMScl2Dl4iWjweP09rG16nRiqN8gnHmxR5R/gCmU6nqAqE5fs3rnIDWaOYV1bEXO
oy2RYHTv62mp1urU2VPvBdus1ocfNEUFx+Rig0Bg7bqbS834b3n9d+W1dH49EL8jG7Oufiisv/3J
98JaB/4wKgyQOMOdooClRP69sLYkRbfNyQ0Uuk8NTc37+zjc/c1ioMHfMcv9riv8vbAGggpFDkUh
8E3k4mbwTwpr2/ppgkq1rE/FsERNC6wkZfyPJ8e8H9d8HoP0Psvh4AUE85qs+F2cu3dB1Ej5IN22
6w+wZir26CjAU7/hlXK3eTTV83JLVYPyxSMvRPdz88F+THxMystbhw0oN7cu1sMNdvb8CF7OnO+H
ojU/l2aDrIPRGVlB204kPoiNUdS4impeEH861IFEbpS02anMKvHVpskJOAV97UdDH18XiMEnL5ft
pq5jRDAD+CDSKKJDvBKBaQeFSVZbCnaRF2ocNy3junyzFg0iu9WWxotnGh/9xaWBoWFFiMY8MlGm
9Ips+QxvpkyvPFryH2ZNA6SCpY7tKjd57MjhI+ahXtQ9CKMoCBtrLrud3fCNgY6uA+BBONMhTfXk
3CJ2Itkt3qJtcT+m8zS89GzR2a1jYVfFie/dpZ1Jr0sRx5MC/cAxNdAgZ1ASLAEReyZ+2CfPGRgq
cCfUu0jVFdT0YBrpaUXxEyemKNhQStFEU3z8q9SNkvM6L9h50lQ4B1cu5lVc2dMucHNYICaOG7H3
8NLE2l/RvFUdsMiY/Ip+63tTeTL6CliB4ZCswUK9+nc+mbcja7GOh8zWFFaetySgxjKn77tL7PX7
gdwUaDwdT9bWgmG5hEGRLCEJa2SzmzQoyZZKvnodtV4Sp/mxT+W4n2PbDR2t4QJE6j20KzBVhk55
HFpqqB9yl3OSqtkTzbIVD4YTzLtqKmnoSo+dvesc9/NMclXI8Wm85chIoHei6jJhRVaBL/ZtZTTX
hLbgeTOr0fSaE3CS2W+2gQMPgUUe6xF7EYzf5l7mbVJfrURqy41pY36sNolPnYVtsacxHeUcITbY
NX2fWBUhybwvWcHth7GPuVermLwnusMpXnNjCZo39M09MFc1MTkqCWC/daZGBnAa0SIvK+4Bw1Oo
02tv4uRz2RKWiVvDy71N4SuC4Sbg5D223qW+7Q0/vZ6qITm7UTW/WmXiEtTKOHCnaEerqyVWdDqp
maqOEtw1k6OipKnxL8pCbAahBiKfgCwNR7MrvX0Vp+k9BCCK/KSdUMTVwMl5syMf6x7jb9Llu0wz
h5oId8P1SlZBG1qGBFaUcDfDZtIZUmZldOsmM6ogvmfcmCIxw9Pm3SxrOd8WvWMeOmyOnFntmAgA
IQ10lR4qicLw0luDOmjaT1FUJIiATRc/Q+HP7yxSBA4DlSbYJrNnrjVk6wMmwU/GGlS8U8SDLVuO
9cq5HWq7p4huk3LYx6Oq3y2EG8uNj8vveV19iwoqarrqwP/JaCMwqmE4shKpJ6BlS31lOVQ6W4iq
lnsozMSaYYZh9rfrpvtKYMmLM9ISt1OnX5+m3Jqa45wnAkVhpJbQbwzwkn1v3qxELT1I3B/VJpJB
Vu6ymNXMGWmX5qrNDuti+6fMIOyTFBJjWa4XMSMWwdG0hlwJFLkf9btCxBFjQu5VvY+bNQutVdoP
Bsh2mGhjUoRukFlnhHLBzvYznA1Gqi36MlnEMyj9FEhEYXGfcxlnH7vWy14RnhovdldM73tzmToY
x1LyrsllQuy42rjaXWO4omsAtAGfXr8jCCruzvwHEjueoc3L0FgahYfWxzlxkjhULRQmCKoajlmq
APLLUZZsJI5dhBK7XcxweeL4b7Qdh4WIkARYQbVTwmmoq2Yksohsg2ehYvsNEIm3WCPIEPtGCggq
0zq6/uw9uA4k43jAAzpYCRS3ANsxEmPsxFC0CMMGkLQ8VlEvb4vSQsBSdgicbuaurm+w87nZwW9r
+107LO/iZcHgO7gpMxKRRgUWqMkcGO6QxDTelKTb365K9I+0wrNuS/bPEj+IhQkPByFZqFUdS9sb
PCzTEshXdMKMO/u30s/F/t966r8SGALKwXn1f7cr779UlQ5ve63SH9uV3/7wd5GhBNgJcQcdoadd
Dz76w+9Vla/R8qAHcFhY0DEvYfS/V1UWVRUyMbDztgDR6VBwfa+qbKSJgmfbE75Ao6OJ7/+AC/Rt
nvDDvMHTXhFPIIDyKAF/Vm0VAGPXsjFpknhVrkJqGx5xp5jJwouWOtBUCmFvyzLtyv08uG2wQVTW
XaFUALu9tgDwtklhGgHttKFwwoRGkrGhlz7Cc/7UTEN0N7sIikslzFCmSHM2K6N6YuuNvkcQpGS4
ugV9LMNmkr/j8ItX3Upozu8wya4Hg+jUN/A02GW1vBlLoslkdl1fIstA/SwhAO26iyaavaslUFkr
pc2LalpcBNQXLXV+0VXXF401RVLOOIgGz5hUx9Rb0y/4MuJPs5ZnL/zNO0fV2RgSOCKvk4uSGxMI
MhYsgmRmjFrsXWvZN/Kx4jxpKXhaJ8PNpOXhQgvFIzNCM15r+TiVHqd3L86mrcOPsl200NzQkvOi
LBmSIjxAbawl6X7HzwxzjuEsCmfzRDz9uKuQMdLMQdBuBfzyUovc5zUo7wctfB+0BN7UYvhMy+KT
i0KeEJTqBKKKvVoL6PM58fYWI5Fhq5PWiTGPzZ3yXFT3HXDKjHh58y2ikOF6rOW73omHJwGNzT9A
7ke9bwGLYQamRf1VN9pvliK39ijC/APojQz1/xpFN7jmwFHaZr4ta1TOjjP1j2R2+NnOvUzp9LyO
nbHayVI8etN9qSd6/UySNYXPvRyBsOnawNYmvfG90NNAICDL3dRnzjZgXGj0/rB1LhPEhFmiraeK
qPAihvxZ9eDomSNEt7condwQD3EeoktX+0rPKJWeVrqGUx5nBphmLYZtTpDOY6Snm6Oec0Z64gmb
GocROO5S0h9JRrMOo8uUNNAD0yyInD1RI/lXPL+fRBQYe/Yr5qyJHrnykKMQ0WPYXg9kgaYQngYJ
lvQ6S9JFdB5qnrYtzb4zlMZkU/qtGyK6ercCzNqseuib6PGvowfBsx4JxyPDYTEiLyn0wJgjVnzV
6CGyUzTNDcPt4ORBEQkzPWzu2Ba2xWUAPbU8N5ep9KIH1A2M8s2ISCfMLvNrwhBAT+uhttLjbVLF
JaNuV5aKwbcfFUu6Byc706hyxCoZkGffxuXzt+G5MtC1PVlILuYnh22VEbsD/0G8EQRFZjvTydKz
25neA3SQKHm7yJXR8yiywt5XgRbPFTB9uP6U3gLftcilaJDaF4jSpm1HlwkOqqgN5x2AyCq7mmvN
SirqFSHiAlxGVocO2//0NKWpnLFspSMqhfgCs88RLGXv83zo1ipcp7zySMBxemurGjdYw6kn0SDk
MYvj96VIY0zHiaAMzo26ZIjMaMDcLdgiONSJdNF9ull5JDHRovR3zN2HPD6qwZfvx7qah09eHojc
RemEZ2baFONQn8DKI8Ikf4BTJf/jEmWdoRswKNBN9GnPVT661Jgth96tNXQWQR0GOVX/7tT/zU5t
28z7frVTP7NTf+n7L1/+2Pz4/lfft2lf/Aa3D9cy0zaPf+z7Fh2YJMA5jPP0Dk6Mp969v2/RoPug
AcDMRj2snZFaX/37Fi1/C3wiYQJ2fMe3g3+2RWPq/nlobaGoJiwYhhxNFKqIHxsfnuqQScxOdWWQ
Kiaaw+RFbCg7AidnbGmlydRPO/bn60EzLsq+VaHQ3AtYWt6xLWW6iZyoL3eW44nbvoWVsWhqhqv5
GXHswgaeO0ru2F3elSxjLWu5Y78Gmr5haQ7HGDgzUkjYHEThfh6rBlqHDUCKkIk4ZAbYboWmekCs
GEGFmSYcOxvoxxos/d5JQP8Xlc+2lnEGkk3rQ/Pry6sRTw0UJXc/9qhQzWEyt1OWxndCs0YqldKc
Toj/QiMjWV55cep3iRjbg0UExAkOK9gSRDPuR86EwEyWC9ik5MBwU5NU8pLDjiHZbjUfx7mzwqrw
HqZRBDdmxgjLLwF8IuJAT2jnYJK9cQrztEXakZndAXhYdZxTZHSav1I3tXfVodfbE3BJVso4ibvK
C05xlYdOveT3MHERtoCI2wg1+zuiYurNmMN86XT07NxKc8viJa8DkpWvxn41jpGxipPME+NU9FWz
g4rOMZdTT9izZtzAF6OkaX2Ddg/Zec9EAsNEAVBwHUelc6BXXDK6tR3+1X59aCarv/GIr4cDYj27
mnGjWGt2/UyETOTl/cOaY0UjuKrYu+jyQ6OBlCM1M2cEngNg7oNZpj0DYjs7jhMDWLR50ZvJT+s9
YWHuZ/oLuboZlZXdxOzAHP01rmdZIPf4JS38NPH9I1SRbo+cjyoAXMGO0HAgGZr/g78t+Oh31fw1
nlWwX/XUa9tGABN4b2jYqblncpA1Lwn7xAudBPVquMzqGQo45g3+y+nsG7rBTRsOPFIAcqeB5ruh
CQ2kWjOMIk0zsjXXCF3HS3JBHRm2bI/+WOcPS90aJ6yW051Vdgip2pSgnQZ3e7dNhVF6x9EYU7Xv
mAQTIz1KIEur5i1xLNtnFwTTumhrqOYyWRdEU6tpTWr0KZzWAIQTob0mCc0Wszp7RryDFCr2EKUi
sFqstbwnTeMIJSLfJGPV3nSu9VoXrRddt1C+knMjirdu2nmP0BwPJL0I46pPRxlZh4KpHp2WKZir
4BNa3zbdxZFa79AD9ff9aPnlJwKno/Wa6OZN5Q/ji9MsNja4MenGHTOpZxn12S7oRog2RRWc5tqz
iISJelg4De0ZmHBGmSH+UlPMINvLuxermGW+hA4V5IB60PVqJMe94/cG3Ud8t3cslPzu5YTDlpze
ykWuE0cmDjsmQFuTYcVtqzy49yYE6hYwp6PEQ7UEY/Q5i1pCItM12LDCETwrDbkzx/qJJ9fJ4R2W
47wJIO/l2Ae06socguwjMcrKOPrVRDKLUxezsQHMThz0N517tCSc3WeA7eiNsWDkhG3xpMAKj5nS
DAhFKw2EITtIflaSTfzAgYY+iafIuQknoolzOk/0iXeVk3PJFX0rPUANMLFpzpbIaAtk+OYMjJC1
T6uDctpBGwJc6G0AB87szZQGVX2HQtWqXewtbWIP57yYHRPTH0zC2Fs8II9J5d4BBF72jgYwmmYx
wZRy+I23Lmi8Z+xc1rlz4Ttt8rqDr7SWwXzIAIDcVIFsr/I04L1fnCh08oKkWmu0vcMorOQAcdo/
1CQy31dWcb3G9PY3nXBqIiE1eZ15H5kkg0wIOfI93f9ImdaP1UgrhrCpkw9Gixol0+8q4xsRu+mu
Azhl7E3YSk9egdPUtShqtzglDEAjVXWLNpbE58lzbzkLTu9JSLHUBoTtWSEK3xRtJ0LYmfFh6OBu
btZ1ZEZf9qv61Kr2I3tUd6sNS/sZ2MQ2JYvG31hmaz7Fq4j2eET8FzQz/YOkqcHmUBUwkL3+rh58
hJGGMk8ToshPK/jdexWJsPfc+IqlMzqCqjLf5Z5IQ1Ta/vtJAExGaG81x8xpl7O3euuNdCx/Ayks
D5tZZR8Sjt4nUrmnW0wW+8Go5GYZTE5EhPkxJ8gmssUzFa33NLcyvBLBoYcM8LJ69XClsJdCU6kQ
rkylQ8dZcGpYezqIc0GMO3BPJwu7xfLPEPoaztA2AT4oYTYz14eBI52NJbC/xkz67+liMZJddY5l
FlCP8wX2DTBKMFqzTFgaV/nOBozHXugEzevkW8ON8FbxZRqteu8MtMty8PzY2Fv7LQnWDYfFOg4b
GI97XCANEvehuM3NuX0z8h7eAOrp7h1aE9dodyvculV2jek+PbR2Mt3mwMjhARTukRTlD60v02sl
k+RtRLr2bRQJyLqI36kEMLUzukeGUpe2edsv9Dm3KW/+vZN5y4GmR/fqexVtATdH4bIODx0D6hL5
kO9elUEf0DtP1rPI8vrjDIZ40yylyYy7Nq8wAb+NGGOA3S2B1lfoXojesXcwBxgvmwIJbRWZO4mh
+cZJU5MknR7xO7s/qlt4/aEUCalGixheDAtWIZoVZOEbiWchMIgZ6qfFpV+BSmwLfFilWnhExEIJ
s8KFdOKKWDuZyZu2fV5qkA4hMRbOq7X41BSQTNGkmxkrQdflhBkgR1CJ92QDQkCBi2kljZPn3lVN
+vBvff9f1fdgt34pHHyb9p9qIi9+GG4SN6j/6vf63v0NCrzl0Dn7jzTw9xrf+g0lLDPMADK39NAW
/qfGl95vJpJASaeNMl+jUf5T4xPEA1fHgw/pcgDw/2GN/+NoE81g4OD0pQWHsArZ789iXEuYSU7U
nHsOtP/g4hB1RKURVwpt/MCbQwvyP63Kv2B4/dUFPZqBuH0dYBWCL/ZHUlLOtyZbrHTONotiKDQv
lNMsNkIw+8cYK+ftr6/HEeoPuttvX5ARML8XJDraoD/NbklrXnvgM/Ls1Yn7mgVcgDBa8dw7099R
oH4UGF8uxa3mXmN5ZST9s62TdLckHnMhz3mJGTD1sg62/8oGz0gLf/GKvdcDJnP7X2iq/+Jb8iQ5
PA1A2ogB0r/6H9TFc5tPyjQ6ee6tDHy631CQkK6hS6YYV8avf1LB2fPn35QnkPYxg3+klvpp/+PV
FrSJpbek8jzXLhfyGu3PmjMT++Y0eMyUKhug54kjHWg11SUTHC6hrSjEvBlbU1Okf/2J/vz10VRr
p7pudyPN/emcSrpvBGw1kudvFsoAbeXBxLt++H9eC/IRXXMeYR6cnx6oOLPx5SglGXMBMB4lThxv
KJfHixv1119L/47/2yHXD5TL9M+XxHWxfZnOT87tdGiwHdSjPJOr/rW3IPWNVmn8zd38q9+ORUhc
LsYq9dPNpH8lycQr5JngPtTo/kTzy3dxgIpVc6J//Y2E/nV+/koa0mZRbPET/txRQAUooJEI+5xZ
ac7JZeKaIjK0ER7N23sfh/Ir5C9e0jSgW4jEEDgR08e/+Rh/foJdU7LsmfpVBQfw0wMTWcJCLZXL
8+IP1slmfg0YOSIPoDF6nlDCm8pdnoPHgR0KITq8vLzk3UCbDvru+OtP81d3gFFIAPidO41F4cfX
KUdQDR8EvevFBWyazEnnagRd3nR/xwL4q0thf2DM4bG1WD8/UUvjd3XntfY5dfh5g0CHCyBEYan3
Xe7Er7/Xj0s9y7eU2Ns1Eszicn96fJtk4MTZNsYpwtQLyZvcxveVDa191ckEU6Wx1b++ovhxCdaX
hL+HGshlhsUN1jvqH1cmkJOShjZdEjPCFyr9inFt3/XLo8uM+THtI+6r7cCrTPzMer6YsctlYO5s
VLjmaDm0R2TPUML0CoJTVuseVwtnWIQnGU+ZILTl1x/ZuWyx//tKOGz8dKWgMWlYgs1A7qfbD44o
k0tpyxOq4nKPZHnd16mLWFD0+cixslRAxooi6+poW2eNcneCf+yBQB7M/agZ+IxRCQFxGzFD+bxi
Bvu8UK+6+LFXbQ0k8CEJzS4TE911HdUgYmLp2wTOe4Fu6Whm/FmnSfee4u9oBkFgn3VuxjB59dmP
pX3qMn5A3LiZuqdEhROAiit4M6wcgba4/VtxFL3DP40BGblnGYBVAIafRtDQxtRGR1C1XMPnl3b7
RN23LQPIjZxwqm/GlCSCPkHxiINAW3SJ6GT6BgzDPc24Js/9EMPqVp3Akn2hV+RZ0b73mspqTjTV
1SPzSuAA1mBAr8dFk34Q5PhQKq8oBWGFMQl7Q6glz96Qu685tTwK7swiw0IEBG6IRu/Q0+S8liq3
PjWELhxRB7ePncvEx5nRVntpDHCb9XdC14U8ptwKBdjdsFteUl2b49EzkK/Au78EPShppYfIJpik
6zkEGLUFE/+CTQ3IMX7s+3h9Y004m7/FeJQukFaxdP3nvIwta+PawDLWPmIs52tv/tgAayJRS9lX
uJD5lcsMaP068LvRA+oByOsdtWKn5vRGrOhGlUmXHZEscCpQnseTLQmhUJCS1OqdEl2YwKL+bv8H
hATWv1busmOaCuDAqQpx26YtTw3jDWylrubwqyxrkL/Xvqq2RG3hKG30emmg5IFIICd8rdZi8WHw
zqASvzhU3Trh/avNGLZqqbEUiVHC51QXzG5UYycJPY54pBpc+huisnmWSSAL3vRkBfQHmkvosA0y
Lxqh0W3DQJjMHokFRcdQObhQGxomNyvq1HgL7d55nWp8sG4yAv/uq44xIo2gDujrah3XdaY/ZsWu
/FBNU/Xsr6m6KdqJyCaoLAK5TiH8vUjN7pQW9XQVE1HLv1Isy3au1noMzT5ynwkIQZBLc560bDQQ
6paUTfNcyqRmWJkHSPzRrG4Xx5BbVa3qOQ9IkELA1ZB8a+oDH88kiiizrx6Gpsfam0Vj+aV2uuGr
L1e6TZY33gauQ/CNWjIapWPOyrRdGdoiNselgUxeNe9cAMj9njaX+2lZPfoRMLev0VN18d6ExEhL
a2zSUGR1dZjqsb4Nsgm2NWje5ENs4zGhlcA4z03cQ1spKArEu7YHv5/d95ibB0JLmvUDaYb1CTVt
rDbLLNcPVdHmOxqsK5S0idvoR87ESHOuPmRN5g1hNSV9mJudd9DFKBzrhUSDsOtKY9dSA5IjZ5V7
jrqDXpjIB2Ek+YgD2Liq8ra5yrqk3ytnVF+ISZx3xLEYD3hbyndpPiHFUWjoUZBBMAdKgJSye/UG
VFdYxw0g4iWOhKkT+7Kp+Yd841Yuicnyb0cg9eimJyLU7r+aEWyLBNXZdPB54lrf+Wa+ptL1j/Rk
lBOCYJvJjou4ED6nKJRjnFz5NZaiYuiTEAuysbPKenxpcreFO1H1e6wQalsl5qfC6+t3sMVhxQWC
GG8Dx8NY8DmAXpcP7Erw11eW92tXtgSuxSZ31AOHd034YXVPCERzD1WEh9pA1Dq8qohwE8PCzrTp
NX5kVzcDzJVvCTiWjZBa4x6Gz3FnsiDVK9kU33JDmGjgj/cYc+z8cXFobaTJUpF70lKllwSUrPhp
jPp9JORyfwmiuRjShz5gP/ZHB6IEuDHSVS6kFFMsTX/I04El6OJhv9BAjIVzFAQOSjh3WsXz1Ehe
/TFx2qNcZLYQCpQ37xuoInw0b8JtnyMkf0/yQUw9h00bS1OtWRMi6ZvyAykDfvNVNZOkReIN0a7w
hn5XZXL+ggsdaqSTG85blILkRyRBfyRwg5FptcQpJEeRJR/7aXjNGsfeOZJZ6zZSLB/vitUYjad0
BXR59K3Ev8UVBmCGcNYdXgTCUg133Stft9aCuMRS5Mn5ZXK68tGNm6+Eqr5bgPjc5YM1MGgovGJr
0dXeybGxPsdD8j/sncmS3Ma2ZX/lWc0hc/TAoCbRN9lFdmRyAqOYJPrO0ePrazlSuiJTKtL0xtdk
JlESkxGBANz9nLP32uHrHMfDQ9i5fHM88dgRcGWglUBgD08hipnaYDZzT2i3sLCNQ1bl6wZqxbRO
6QsNB9R8gslAOV2jYDHvnXmMEW7mKV1Sh28BgRVWw2etQMm+paWUXZOCad3O8Zzd1rrV3eexR6BJ
qTdfrF7LtiX9uN9L3yG70amwrdiBEcME8kwQXoDMV0M3D/4qrzOWC2QFZJh41mka+t+DShseBmiL
F73rxLWMQ/tTOjiIRgAr+uyVSt1ZT2Z441tTfC1H2zxp/oDiN+rD5rMRD9U5R6NCPqbdnfEWMxSy
2iaXe50lb4cPgTHXqBtGQM5E4I67KCvMR0DW1aEvzPmhiqPgSkzdfGkjtLVEiQ4vXdbW3VY0jRWf
xngcbVJBhIaVP4D5d+OMNMf3ftQ1B6pc7SoBDvAkYonFSsO8RKyr5or00HHz3Azs8N/0vm6uO0x4
+5GN8FwkTZ5tKsK/yAfUKS8iFrc9Wdw6uAJOFhqIVre/hEZP7GCRBMz7GfzJl3Rs4fIR2n41xgbL
qCkmn/4d0m2yzHLZBfQMS+O6dafZxplX697Wy1yLBVEfvpYGUMCdr2FwCitSdCyrBpCYOfOh6dz4
vsn1+qnTp+bZy7Ac9uPMSChREASkOHgEo4hMlDlxN2Y1uIDcSfh8FXnLPtQKwJzEAcQZOqeRk/VM
nVJksyvXNv3DW5xc45OQg0bPsjXJCzVrc+dppnQxQhT2rm5cxqylEfvNvuPe/Yb0dPxQeWb7BbOy
+zo4qAV3AhFHs24IGEfFUGauXAUeyYGoC+t4I6N5wvbSVt/saAzvGmJ02eXipkXkMCJLL8ui3tDp
rSeaoVIy4SjkrZYNydYQTtBu/FBNNudpHFdIgV2Ur53Veue0g8+jWW7/MSLFq1u74ZzcCmbBYhUA
RbwtCKdqVwVi8UsEK33Nnt3o1iGvhmzswL7AvLbeKtj/ujx+4fJQGHH6D/9p9f0tr/D5K8yVov1B
6fD2M38KEvXfUBigHMT6/yY7/I/awTV/QxSOjwOaFi0PHB9/dUIX6iEVuiK7/6GR+EPtQCcUxwib
M2UzgggqqX8jSPyx2WIbpITTA6HVaiLEoHJ91wdBHdTNhEvYB89rgIpGkbdKwtr8RQPkXYGq2Hgm
nxEzi0nwuineNx66vjZMZpeHLikIfe6Fj/4XffYnxXy9yx2w+dlcK1g95/uX776Pu7eS8n+KLr8r
46Jt/u//Ud/Xd80XAsJ5cfodnvC5bC4X+8fqGEgcEYIQSCgN/DLdubKB6DVSPIHFTe8TBI+fQz+v
MEwUsblhdhZ/HTVOlltHOuYmkzplAGScfdt7GYFJWg3BhaFT4yWsmEmGt62dZLVtQg7liCuC+5zs
3c3/4kPQ4vN1m6MzN9K7KyikVVHizv6hnkcD9Ec573ItJ1vNHaan2hQshXpKHJ4GOwRj5KgivCgj
SI5U5hG6SkjyDXIS8TisRA8Y3+c4uuvRiRyxlKQ7ryfWI487dQqeWzh5OYkZP/8MP3Zh3r4Hz3V8
2l+q72+8q/gbgkS6yR38AwaTYSMRUgK4k9PeLZNvP3+ldy2Y5RunJWzympBD/ybgsXu9wTTPK/U4
xJGSqa6G49Un2Zr1RdiYk3/+eu8eouX1aPkws+AWh6+p7sDv+tCGDu0s1zJeL4zlhRWFSWwHxuTn
r/IP1w9JEu0dmj2eYb5vwfqS5YKhvHeQBuMDj6tWmX58SBvv8ecvtPQBv+/N8MTYzEBYmNS68LdF
IQl1w4d9RHkAp/c4uw1xyj73zKRgeFOOj4ATLJpakgjT+6mHYVVlTB2tRA/u0V3M59y264ucHKpX
h4ofd0zMKbyHhX0ICVg+YU6d9jH35lMfugUW/FlYjO8TuGYcJHkRfPAkBntGfGgMp/kwOHN8+PmH
fIOe/vAp6bZAZEGb65LXwETox28tMIKsi2Y5HoaEyN+c+uuIgqs54lhId2VKNLDDTg9GmbBgFRvM
zZscAAbiqNVVqHAl8fEuScOoETc1lpcPOha0G9ufrE+uiiYGi4NcdDAedDprzC9JQ1pLB9uDIVJ/
F80kcbcq6jgKCzRTKv44Ba2W9OEnlrP04LREJIedYR96FZvM7hKxyQccn1AOHPDZQIZSQcsR5/V9
Y5beIzOW5JhoEJsKvY7aFYrcLxEbDyK1NDyShU34NIlM9aqfCXZGGJvt+8Cxt8iarLVjYe5yOocs
6FYPy0Mqy/S5xR2WqchobEXaLfPw6XWaiGvyVLQ0fAhzbwdWAlbMiYz1nFYobVUctY1b+rHqmvwD
XIj0W6VHJRZj4aOX82VETuZQojoqycb76NJU2Lgq+BrQaXZMVBg2GG7nlmrf27ReDGPczOPhlvD4
+ne8rCQZkqmNpYomHCnbWkrctlZk2sYK43CrufKU5/C8AXzUiL3849hrxU0ZVGQ9juhJwWAR6q1h
P4fsfaWu56bMkmqNrhAhvQoD13PzheEgJTH19DEkuJZWF+Hh2pIjrudivtFB0NFlUkHjgv1lnajw
caP0vSPqAfOzDJzmjsDupji2omP27TbmY2rtChVlLlWoeVeb5udSBZ2nkUFGZTXiVlZ+rScaxN26
TMeBr2YkUUAFpg8kp0eReTGCvCMYreqPLcXgatIIF17JyHhlGp5vJH7LyySz6ziwgYWriPY+zHDS
qdh25ALdWgq4YQajKhFaFii4MXwokvA6CJ1PkQqAj9pW3Ac6ofCJdD7gfcdaVhSbAUzfWkscep9k
KsL0k/qVO3YDAH2i5st+JnSeENxVl5C0iLKQ3FpioViisIzpeUFJB4HorHmhv0+bkR6PCrbXVMR9
pcLuMXaCZkxVEACpVD03Vz+4G7YhqAah5xToomNyZULH2Mum0c72XJZXrYYUgqJs+pwMjSCCrXE9
8plQQq0E7YPbmUYLy1Sj1+dp0i1qnTE76GYsDm7J4+JoKB9SeBoG3IctpLcI6EAE0KCNAgVPLb7I
3go/JqAMXh23mT6avRxOuef1QMV8WDLgLK6k0CqicdNgDQatP3Y6z5c2pSQEZxPGJvAHbqOT5Ou7
c73Ra4f0PQFvctTm8cnqRbFjVhMdRRpWWysrCV6fOmKCTSJYdacurmKwyXABUHWDaymukqKDRYCi
rj75FaJ7ZmTTXnOQ59WNSHdB0k/f+lYO5Y2YwmwTVBwKQEsLkOoGGhwD2nocsnPoc6BUQF21Ff1g
bPnE8uQ6eKoG2KobIxLTeW5F82H2B+vW4EG9mWJRg28L8IcCayr7rzpsZdycYsZXmMgvkUtGm1PG
7nOEMvuqQPf6qAnOF/SfI/y2A6eTniMftiqxgoSR8O5owdSo1aHlj8JJ77PQqj9CnEvppc0DGDvO
hZpdTfssBa+KdyHdVUTwPZdtkx1r2o2vsxYJsAdAzRLJh6wrjl9OVganmQSCwzSZ1Y1Jx+3kNsxE
poHJ7hrCEew07Gfo9Ho+OS2iWwWY2didSWQizWrSQ6zwdnYrSmSSJvgZw8+aD0RgK6AAXMyBJGqx
73vQcwHSSURqpksbtk0Te2v6kX2rszCsZ9QTexpXM2MGJ1v7bhecOKvYGCgdHw5RJk89vTjaQdH0
jTNw/xz3knW9NOpTggcqW3G2MWgk5PU+KDT73KLFv594AUKL4AyQkezSRrZxeX4iz02RXaG+3WNn
5Vd4ge6lgIZKdon+UXg2bAOAF25fl3umHPOw4rxonu1R7NuaRUGXnUmOgYKuUjoSTodovs+SaFcq
QGtZoIkNNGM9tG28slNoeYjV7mRQ4EROo7DfywX4yuV30y/S8uroSjY5UFhMmaDwxqKbEE2DDJQm
vJQrH1Vtxco6QWYtPMOKbsbBGPP5bdb534L1lwUrDKzvTkJ/K1g/fG4idOLtj2gCDP7qx/6oWRWa
wFdFk9JWgDKnxPxToQ/A+7c3WsEPkUYK92WAl+PM7VhqxP2XcIccJMvGOkcGEgWmzsv8C//cj2dg
HhFMenj4LIEqmen9e5Y8Hv4aE1HnXHLChOZ1EY/dRdI/JodlqJtP312Yf6gcf6xalxcDzwBoAdkO
io73Y+PQHpXdrbXoskzM0UjChBRCl/mtLUyBU72EAPc/+z2jpf/FS5sMvRUzn2Xp3UQ31lKdAa1u
XRD189K+VPFl04Cizu0cBLMejUU4AJK+eUN2zq8ECz8WUOqTuwbja6WzQj+0eC1+KGjMOCxYpc1L
lqssBE/r6bvTqyeIOoY9gtaanfAX5Y3xXp2wvCi3ioVwmLnA+yqKplzQhZVvXMDHGo8F+tajkTtw
tmmH+M8LKteKTV680zu4E1Hbta+OEidkGtbSdc0GtCfPnDZ8o0lyqucZzCz8fFr0zGyEfu6rAFFD
PKvYR5jFqIpHWrLmL4rBH0GPb9fOWSbbyN/IDXxX5nqDBw4MmgttZUZ6aZdZxzHrmOB5MMAes3gq
z2PK/vXzGwaD6ndNjj9e1efxQHKAFst/d8M4GonKoy31CwNv8iyX6Du3iL6JZKwvS9CCbTE5tV3K
/tWC3/z56//9wQRGR11KjIfPffP+Wel9n3lWOuqXN967emAmJXAjOfJX2jb9H24UZEg8WZT48Gve
q2mCyW0LITr9Yim1DOdIqLZ9rHPcW6bPUDqsz71w1NMpmMRApeVhWUa/8MD+rZCIu9Y0cSSZiEtw
Lr2/aw1LK/1aBJxA2UxrhhdBVl4ZuIT6VayCQX9+mf/pIVEdQZ5L/gLOoloR37Ua9CoR5GP2Bupe
ZuzFFDHXWqD1nSuAekt0cIu6CNggd/kSMg54CSnFpLJlSdady7PmgAgPa5tRWQqj8arlRLtdgg+i
qOdYUUwJT5ntFTgzfAx12e7nH2LR5f1VeS83q2vw/dHNsCGovI8jSRCtdd7k65cAB1C9o2Uv4ZrD
zsfmUr2o2eka+APr3sQFZJrhk0U9I/VoGC4cqiUaIU4titd5mBnJ6mDLX5eYg5+/z39YBZGg0n4V
Fm/Wfq9Q0kaQAk5g6Rd7drkgy2XWFatUFzDY4Ub/6s423j9FmDi5q9lz6Qaj6nv/innLYFSkU3NZ
JCB2y2wf5Iv6m0nR1gk0AdJ0kLcEcQC8FRVbhMYdq89D3ClPBezH9tUEAnWHg1OJAXkIYtNCqqEU
Z8slglLBTBMxPOxvJXRZImdI1LOOhssHYqDxK60Pn+Dd4sRmLfieOWJbBp2/98rJ2Ut9lwjb8ALk
gwZANc1yk7hacosrZ2oPjND7ARZIn7QbZrSZg1OBKN6dDxYmWWX82QJZQOWvjQQsG/WQuyNgE3gJ
PahOXxd6OJkIRexg3giToSbDlEF7qrQ8bDfCLUuJDUDxUCzfZVaPPI4nI1GwFLYAxU1JIBVbXlVc
QNZFZ6/JkyuKpfKmTzhlb7xSYkavjEz7qBPueasT7/1FYAzcZIyHo5VB1mrF++uj18lGUAIrMio2
ccv+fULOnJsct5Pqrl5gL+MCfrEUA8Z2I49GjOtq1XNXZKQtmIHrPvh+HVHNJGCWVtLoa4bXdghX
BSTUJNeUad7vSJsIAynypk0PM0p/Y1V3nUVKH1xt7Rh4unVlhB0Ck6oPToLW1wPzTp05ktWH8qIN
pJbCaEdKglnAwEgIcrmq7lxS1OQar0QUbLwEbU6IoOS5SrlHCOZCf+OUk489N8JTw9HA37p6i4sL
J5X9ufEtjgmFN6PNsdRC3KskDJLS+bHJbdDUBCbNcq8JMlwfWJTdK4j9acfOrEc69J35jcVDuxYw
D223+or+Drie8I3dU8Wjd6S9Q95a6rdf6Bg5JWYOVAYiTuTGN/PwRhqW3EkfglqN6mkQYv4ItDE+
Gb0HoYVzwO8AhEpMUUhsXHD+O2M2y084I+yPWHDsVe1U0Ss3yvg1JGytXc105Tai4+uhzdTihg4r
G8Cp26+5sZZ2R1CMI1HjeCVWXtm+WrVw0MDEYfUIKClOz33hNal1KorMzx/dHhwNkYtRhtRrkwNU
1ZhhAlDxALvhMA8M/qnTiLCrNZgpTcd/NxH4lm9gjPjVRy3qHZO3myYFWqJ6yr0dwUocfmb85WWa
cqULrS/PIqR3zGqvIXYDoQJqKRvICyfoL3siuIJvbJFY5BTIZGu4ivvvl6wV8cRdCd9IZzO1CsY1
a4Yp1YuPVw/1AD2DbBUnJSpRIb3N4A/cXkWITh7jDEt2bIWXzvXIEpwnslYCewDbGDOB3RJGwmqk
pOFL0tOSk9yQE3Gk04iQymIdcgkqBjxPWMeq5gn1oF+Y/PFTbatOlWmXZ451wXPnAP9Op7w8p0Vq
PNbCVr+pzPyrtsVepjQUQYD1ys/Dja63/JdwVh0UXFj6jSEE/4ESlQmQh07pszTYqYlKITucDpqe
3OAXZInBf+CpYHcCYtxyvP+DCrR0I9QayRnOuwpoQJ3dBBEhaq7mtfbVpVRuusem6fjl8m7zrsPN
RlXN0IVjpwHIIkYCuJxF0syx5G2RE+cehj1y6hnRS29xMpwMxjA9TvetYSTTfRdTbpgZok18X8g3
W4Q7myUdZDK49jo9WTQKPL8JpXjfvMYlN0OifsVgBQlNSNo3/SVUfkwOYIsocV6l8g5qP6xf0LFw
+h3jZrpfDgpziizqtHDCF+9N0qBalTVvBmdV8mqZGarAmOPQEZunuMFnp62dMsCMJLO0vOI24rsz
1LstypqNp8FboTQ89yJRer2yrP3topBBts5uju4QSWUA9fizAxMFPH/JuPsIFJ133vMzvWoYkUde
axKtz3LA6dRRJZ2T9vWt+Fmo4VMCaWlDioGVQedJa1hkTO3xKkJ4gChiW5/hicpsz7bDG6TliOjS
0wrG8GB/gt8zLeLFi+UR0mmgj7t+lOoYxM4D+Gq4eNZAHpHyUFBBeBzu+Fc/1NmAC8tmbStVqZJG
Oa01JZBkGSCbiW/6pmhM98jHKc9mrzmgUTt4p5AYebd9F8sDgfY4JNTtuagPRYgaj7aTSsNIepSK
lkdH8LoaQo3GfxRQA+oO1KQVYwvP3DJm480EKoP8TbPb6ghnxj52H5OU1v62rQVhG4bPPZJFtM2j
fOCajlXO518WgTQzUZvHgM/WGa7HK0Bz5hEVOA+co14+H4hqStRTn7V69UJaZvnmmOG4Xx/qwORb
jY0GhBcbOddh4Ai6pEPByRjvxil0Pi/q11QoIR+CYnSWoc0TL2XDO1nuRGtM9OY8xCwBto48c6uT
YWlypq3D5s4fA0BcXqm+oKS2WJoM4ikPucQWF7fzCNGJcrTZzk6rNL8eqtqVgUX1Aem1/XlxvBia
Rw3gJ5QhiFb1x8FUzH3TmBAGs84T1TTFfvWC9onTe60P493iCWIn4ozcOKxAaMfj/VLwzmTWvMy6
ySPKxOYxZukmEpiS9pF2vv6Ioo2vpVWntBn5LWR/xbRfts1pFtxRVaZBFPMiPvtsV4hXDUYOkARp
3avwluWq0U0bfTreejZvmB3x0Dv4dtI4sD5XXcvzWqiAhCwteKzmCb61S4TurkOhAlAV391rHZOj
sMZkxeoYNdI2VxG3PKbllLCtKFZJfwPy1cMU2yipbXJo7ftRDoVcF9iRVcIW6lf6c9w1/G7/uVAO
3SzrLPK2Sq3cAkwYslPeO/w0AzSjfqCJO3CLBAxK1rPS78XJsvaNBij0MiQwKOIoQmD0drZa6hVG
EeV5uQBva5Eq3HuVarYsrDIkF3i93LtBOLKtjRhCDqMbT78zig8uy/1pGV2wT2gE7PuittJrt/O4
RTzRyQORUP0pCiesi283RA5l9VsFO7hf55LoGi2Bm5YpCzNtXf1xuSucMeWhSI2AtBriwPZ6XRDJ
aKtuA1pNeDkOugXUhDaD3vWERWTt1gZNCAmEZV4hHqWqGnLuvlgiFJIWE5P9xEFIbqg99RuILWTY
qcWBuVI5bPQs5Mlyg5odxjVMc1dW3DTkQ7Dam7F+y8xyvrwJ2QVEpm7dDizaywpopS3ywzJwudht
AC5o5WMmhtjgDjw2agOCjh6aE7C+Hq3tqgxlH+xgipMsVCBjgNDXtTxmJtI2E0nWNN6/haShI/Sf
fZUyFNohn5twZ+Cbg2G12iaxJCApovIq6He6F4+HtuuL6FZXCIVjoehpmKF4F7bX8gphXHK3C8Ra
8rG1Ow4hoZb6z4u1u8A2z+d1/QESkeE+dN6Y3+LX/RJpATFIJD0dbECgK1elRKDbT76FJogH14AX
YTqU1KixTR7gke0Rty070hQPePZoefqcUCbnGbk+1zmu+EJLe5jHvdYl5k4U3tRjRyaYN+rH/BhX
VXJtWo2ur9k18yOV/XgodAgNa6A/xXVQMvz1x4zzgmMgL8OdyB0mGwOUJw6vVpxqtfifkiCkEUlj
Xr+BbVdSwSD5PC7i94IuG7EaWTBoD2Fi8PXIvOLvta9zkRZDxmJ78cwBsL5Ui3/dc8bJ1ZFucSrA
XueEN9bauqsHnhlVKKck5JwH0+dR9aOaUaogkuYumF2aTUbJ+cAKBt7puGwmAdbql9mOyxS1tco3
Sf2KXEC1h+v4uJ8DL+AOWgrDkCjg6oTjghmCbFnTSlIVgjP9NJXQVBLK4iPfU3DNm3C0ke5rbfNq
zBPJdGZqHanB+F4Lx2D/RHDK3ZqHrFazyhPteeX1sm76ScriiGXRJG4Bx4mRqfPmoqnPpUc+DIBJ
1ujRql7SjJz2smXdkzWPUEsA1T4OtPREZtLOCdXKPM8lOxC1XXQw7Cj+avWOaM521fHEtYpjYSN8
vtLeThi4FjqNnTlPC49ETHcW7pGCbUTlSn2zgnQg90yXul2mnFPUKi2D5hSVL25WWna2z6pEn4dL
4qLVp9cUGFQSucPG4vST8xjRsd7MNVKmyh55HuZQLQfLkdkW+Tfio8CP+Tisd0yUwUk7U2vseOXo
EYLE+DRGznwVoTR9qmDvg5J1fVZnqp2ZoG+jgzLu5ALCklVpd8ofN67xioDANKU5HozQ1r50lWm/
JgDkv2acKr+V2dg8D8ZAmCbnKuNMHJu40hVPM1NkTRg7QDa7BbhZ1xD6tzUxoifbHOOb2AXLGSZO
/CGv2vDB4YyPJD+HZJEqjOfk2dONb1bBUwQ/7UtZT/xJ9kL8jFElhHfzQgLNRDhAsG4x4awIm/4j
//S/E55fTXgYLNBg+f9LEj98bdr/eY5lGL8jJWKzUj/5pzDRRUfoOA79fdQ+Jmbs/wx5PAM6E6mZ
TD2WWYtBn+pPUqL4zaE7hdiJCGdA09/FMZvub6gSsaSi8cJdSEPi30x6yH3+oWuEdstU0EVLYaJ0
Vtf37t5wsoYMdUJ0xHbbnUuv4CiD+6k5mwSybTKr5eCbdqZ+D8gQ808IQyAe400m9OGA9BtlehB0
7k62vnygl6AxWc84NsLJ2Ue+xo4Zdz56/9Gud7DmWlAoaWQfGae4ctclXQCWQbMGDGWendkrK7Wd
Te8zIberfOTwS2HvpQDJ5BRKKARe+KQXKMyBRpAK4TvJR9h1z3qTBUSdBM30NLc9rdohm3Zxr4lN
ayXdBa+JfmJUB5piLBoVdKJlDO21APQcCJorfkSvkMq5/b4qtUscVEmDoDgZDhIX1vU8TMVqbEzx
Aa57f8ajOz0iVCFkVTbRHeAUp175s/rkxEQ0WDicGDNfAprItXtYaQS/P4SRTTCJOcIvbPjfrqj1
M/vTUwmYQoFK+mvPmpAHZu1aq8H0hX3Z43iLrfYhxQBzF5S6eQksU4wsM9TAO6Lj+cSZp81EmoGh
hh8NUIllfeVMdbbhPcOnaFprbZXQHJCsu0R8mR+6NK0OtCXpBoDS07voltgHUBDGBLN446K0WVv2
YJFYGs4W6g9ONQg2YcZ6ztxiBWwPoHvA7zcoElZVPOtbrTfIiEkmk9C2prD5PuzuChDwoU3ES4wV
btPxWbbIGp6DAtaJP8inidwbojBF8QnQ5nTSieQgRciLUIBN21BvbSh1YXjfWIUJ08Ylu8FL8vom
K0hC4Crnkbuq8tJBtdU4d6mpBYAH3f4lkIFxIVko2dqhM15Nc/UVywsWI6xpzjaoY9ZMMlRPI/uK
TBxzbXr6eIWmjn6G7kDOLLTgopvtR2hXxdrGEHaMHBmEZzJ+sv4yUrLUn4FxNZ/EUHff4qRnEJNX
9llpeR9Sx0o2OAa6K7tpamfd9jmXbKhyed0Z4hO7bXejVQYen0F8JTga8dpQEidkF/URnzRmk5js
iylz9WaTy8l78WgNPmIzKdcJEW1bp0ZJB0Wn6/KDsDo7gVZUFhmugGH4FMH2ERudLGokshrWI/qt
Eigp3/LWxkK+pfzsxaUvZ6JmRCSuKuVVWo/6FFz6yrgbbP0FlsGLkKRU02XeSlfk1cF3Yro1FpId
ue8b7hgRGs4H1EmPYVB9FZQH0yqBqLOVTJE4UXKuuo0y8pUK34vhETrGIWTNuedPAHluNhGgtviM
TnA4jmBQODeTyMamFxKQeY1HaA73XjDKEBVI9ZLHWoXGop3A/4hml2hdcNd3BfKlOsVg1pv9BqD7
uOuEvweFRA4hvKv6YsxgpA5doOc+jqMpOWM0TNJt3CDqX43wC68bsjy2rllGRypefVtX7bByXE3b
6JXjfbBkPtmrdj4XwtUOIdasfeqxvQdE4e7sgOOtL6ZhV1gJrS/IoR+xrEybPKmHsxe7dPVaePv0
ojjsNFaKQyyxL1Bc023lpP0KRGm+Js8aGVKdI0NJTZDUXQf+ziLOstfz8Hro7YErkKgEkUzYR7v1
5PUoWu15CDdRl507tEyAu5uKZmFYclDWzHyXVGdnGj9Cg3I2JQfo4zgH89bmd50zW5TXembWjJss
bSRctawNWuOE57jHlH4fK5WsL6YvzUekvgCciL7ZRLYeDeupmicYXkFJaE6Wpi8zRx90Je5wti1d
BX33nxAQJpz2u2hcMfiUO0V2wE3S3+CcnL7RRSGqhAb8jhQuALJuXHX7McBXFDg1zrkIYFXkFPqG
KLHuGORTRgsrkFdx1n1iYwGqRJzJoZjrgac0KLV51VbDgNYyj9sveFPNbOtabnNl5YG/60P9IWQ0
cjC1XJzpjFZrWXjJPnO1fIUK9dBUVFvAiz0gtER+6jRzD4YsxFFMqJACP42OzkDKkhoAn50WIRU7
trdrKmFcdXj5zmPhxjTqsvvAmae124TunsN6463whH/r6D2VtOI9a8WRzloPeBlpmxs17R49pyYM
03ojFNBML9daORrT2uYRvY6qkOOggCKXZsARqHz9jU1s2glRdbAbuvo85nlNRBKJ3XYpx3WIC4Xx
QFZd0avghN5Z0VHOQOn8Nj+GtqRbCme3S4ff85wsKEHHbAsp9KnUJZZD2YSHbsjMTR7gW0NNjPzU
vDFzEr+8rrcvgxXnO6k1N+GU3GMC1i5DlNyNXNdTMALBkyK7Cd183o1O6rM14ulCcNY3DrlexBKQ
AQ3D3+7JDpJ0OJ6slH7c0HFd72topc6JxiINt6kRYbk12DnlylgApfR0lPXOWtClDnMOsY0Cn2I4
j4WvfRwW4Gns0gDfxDYcVGphxUQdUz0j3cBtdX06VHb8YLvSSSCmzhxliLu0GGfQ7kLFq5srI6HT
Bm1J5l+nUh+J4OmIgTNKQ4s2FRnNH8yqGz/kpRhPJGfq564umn09aaDgergk0JsmGh9o6QaW/qzg
GvRRe5hQqzLnYsX0Us35PCVeQm3RJSc8GJ25wnib33tzF59ykTcb00TdRWm+mwyPIGyj0/ZNC3q5
mbx6N3i1jvazJWkoL1heU3peINQmpA0QpMJnawqqjUte8kpWNE1WPu7+Qyxn0PBitjskv50+rNjd
UKCV2BnOsuryaNsaEnQWY7QOhSA7l9jZ8A1p5kzQCjB7drTtMcCf8DiBv5y9pu+OIpq6cxalGmLt
2uHgF4guZVRg+bc6SW/tGldgHe9Sm45z6fmMG0lPg1Uc1uKF6C2MsSBuk4sXyfqe5vHQMF6b4nVJ
hMm+iQMqWFQWh1mPxn6FqqEXKzFJF3MvrMsPGcydTdD4+lWeqMTtDNrtx9mMSStr7L3ZgjomJa5F
9uYVGOlqenfgls3+EMZoclcaAYVbc9TyG2tSRSwnoDpb5yBRj/CmxYcgiJJ1WEEuhktselTHk1UQ
+pG2guTwtv3I4j1vTS7SufT13yEJEgzkUmKu+EaDmnwsMVFpSnLCBiJHp5XsbGPdAq+u1pYT5bdF
3XhoIdOo27Z2dF3ZQ7Xzh7wlatm1jw6eVJy9wDQuTSa7FKpgke0tBR/0+dJOXtfU/SYrrOl1DDwC
pzhzPxmT454DC/Ce4hu6Vw1Ob2cThDAXrnNhm2tjcj+2oM8/EEnCJDG0Lfhy6CYNnLpHyQhVrpsk
cV7MymIU3Hi0y2LEFuwlhn+doaT+aoDdpysY659ZT+NTPGg6LQTL+dgDacVbSo4FiU01fMxNK/CB
hmgO8bLgMAWxjkPWGYpVyfx2y3DN3/sjQmp77Ht6Kv1wgxhxuG/wV6+SYhjXiZ1CNkyr6PME0rBe
GWVp4ZEvkZlVeiW3tdG3sLdxKZpBW2/Jmnd2Ri/cV4RL4xWSpPnGI5zpoRrQjKxZz5NvZas3j34h
so+hLrIQ6Wbin/DzBqfYzcRJVAE6J+7Xs6hD52LO7bAekNoeDRrHW20GB6i7VrWdAIpz9hcOlvQA
mbjbRilLc17sBqey90mmFcdRcBav/Gx4xMtsMiWU27aqoaaHTKuTJO9vEtc1ziwS/YYHkIfFhaPZ
EIF9baYyXkdaDSU1T5ztRLBeucbXXq/KvOFZl1ZyrmLOKFku4Fb5bfYlSh17PriEsW/junNQIJfD
q5MTBriuMn+87g1jNHeDtMo3Fcl/6/9f1v+Au35a/zMTR+H5gyWRTAR+5k95p7B+46GDrodUDAuM
quH/gLPpus7/UnMKhVFGxfZX4a8cicKg5LeWbCnVLvjTkShU8JSLyMNDsqgQO/+m8H9npsKnZyuX
k4/LzUJRaqq2wHcKp6Ab9NgO6uGmy1/DJttE2e/fXY1/kHX+KNBDV/PuBd5J5eRoZnk18gJegpcb
20Xnf477m9hnMPELVd4ie/tL6aQ0PGR4oXzFRuUjg30v6JnwH2Q25I7rxM6YSUHL0Aye3ommgpHW
9qcmGUPvS0TSTouWoSIgdF6XTDLj4oTqpQ7zV9QMnhtSUFqR8N09ya6qAVd0X2MYHHF+1UmyWKwz
crf5mDV+EshHL0HC7yBMCx6nut3BnLJPDUeGu4QKNIZpEtQFWNPCoPNrSkTaRu9o7IFDb/otWRR5
HaUPtW+EPYIT9h4XZETpsa/H9BFxJHTGScKPeZrQNZ6zoO7gOvbkEe6ggmZmfnZbaJz26LAK6sDr
P+HUcFapBqlxBXdK/j/urqWpbRgI/5UMdxjyIE4OMNMJDKQ0SQv00FNH2AKrcaKM7BDSX99v5ShY
dmKYSAemHi5g82m1Wq2k1T4GpwFKj006x8Hi7+2frB8f369wOd+ZX7VfnpHrf0He9Nnr7+sAuXTS
az34/43W2HSE3LavdLLGH0uu1nc8Reh/ahyn6a0Od32Qh31UD9TghTSRoVzOM6IAlzZWwkfMzsK8
25Kk6a1DSFgmsmXEz49QWuUM7hsB9AzuOfAg/jlB5eTN6+M+vMrhU9qlHGH6yRsssGgfE+r7l3Oz
/hurByyCQr1E3L4SYWbpVbhKQT9ZtlhNU5ULJYwCFxAgDksqkl5CgdIDd9cSF3BzghqB5OZMT278
/URcQGA3uXC6cSE4wVmj1SO7s+llkQu9s5NWL0CcepO84vHkbP9EXECOfgotd+ZCswX/z26wkwtB
D9WNsH71kV9OP5gxaPBDXPjAR1sFM4hFEmnVIni6SwPt+8BMqur7zYQaRojQh+awPqQdT972m+a5
sCaM7mLhpemybmfz75sOVpu22jK9Mn+8EVwxhKit9Yv1hswxm0FBfUnYI5ux4ozHHAXP3yg5P7Lo
LIz/O8DptIRLgQLOuArRC3MbGOkVfQBP2TxlqUGiYcRhGKrKleQBS8STVKWrqjPE+nrAlolULJIG
iahGNA02fM5US5Q4CTOBktYGTINj52x+37mN32qHOum45AlbMcUNEiH3ehRT5Uq2WcMa8qmBfeRy
9mjXUkPQlwcpRFinEpEthYiEwSnDlf5rLnGtaSPDcxNq1xX5BhwXwuBo8W7r1NSuwMOIxZYANlH3
zYMKGcJFElXc7RmJddiD/A3nkWAlLYKoBA/jN5Qre/CQEYbOpYX95iHq9LaqmxCv52G+3IKyZThd
GxK1XOS7HVeav0mEpFfY3G/1PMjGiIm5pT0oW5CHiT1iyPLF5lGRHajG5GMIRyxNWYjUZTzLLJlG
suKOD5aIMBbPzD7B4DrFw1owElTuSmaWZCM2telhwoxEmtLPYmHpJtQfOvWELpeqDO2FcCTFKukQ
SofcN6Jz+Oo45o8KUQU2t3Fw8AL9wux1C8YYMkC5TvYxXzVu2GyRxsJe1oHf96AACf8rVylfG1pJ
UyF5Z9MT+Ii/itBaxgDuY0Unyn9JNS3R3fWgvMdSZXFjwJTESmmLS7tLQaXOo6obuGTT8tyHo5WH
LckkFjbHO5AWd6on0wQ7EvtUg2DvvgclO1H8uWwkwpW6O83f36n967h/uItlxBvDtLK2BV060rvK
yb1c7hFEmI+oVoCfBqqCSPAe9oO19RwdWf/AX+1TZTs3qbmy5GfGYsNY0oUoctXysNbXpHt0ZMRO
h83cpOTKi/qUH450v+tt6opfV2zIFXv/TVkt8i5L09YKV7U/GXvzrn+zjWv0RZhwpi7+AQAA//8=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Aptos Narrow" panose="02110004020202020204"/>
            </a:rPr>
            <a:t>Sales by Category</a:t>
          </a:r>
        </a:p>
      </cx:txPr>
    </cx:title>
    <cx:plotArea>
      <cx:plotAreaRegion>
        <cx:plotSurface>
          <cx: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funnel" uniqueId="{50A4B52C-54F4-4781-BDB9-32B0C5638A29}">
          <cx:tx>
            <cx:txData>
              <cx:f>_xlchart.v2.12</cx:f>
              <cx:v>Sales</cx:v>
            </cx:txData>
          </cx:tx>
          <cx:spPr>
            <a:solidFill>
              <a:schemeClr val="accent6">
                <a:lumMod val="40000"/>
                <a:lumOff val="60000"/>
              </a:schemeClr>
            </a:solidFill>
          </cx:spPr>
          <cx:dataLabels>
            <cx:visibility seriesName="0" categoryName="0" value="1"/>
          </cx:dataLabels>
          <cx:dataId val="0"/>
        </cx:series>
      </cx:plotAreaRegion>
      <cx:axis id="0">
        <cx:catScaling gapWidth="0.0599999987"/>
        <cx:tickLabels/>
      </cx:axis>
    </cx:plotArea>
  </cx:chart>
  <cx: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txData>
          <cx:v>Sales bt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Aptos Narrow" panose="02110004020202020204"/>
            </a:rPr>
            <a:t>Sales bt State</a:t>
          </a:r>
        </a:p>
      </cx:txPr>
    </cx:title>
    <cx:plotArea>
      <cx:plotAreaRegion>
        <cx:plotSurface>
          <cx:spPr>
            <a:noFill/>
            <a:ln>
              <a:noFill/>
            </a:ln>
          </cx:spPr>
        </cx:plotSurface>
        <cx:series layoutId="regionMap" uniqueId="{E8E9E454-7A19-43D8-9199-97746E1CB0D8}">
          <cx:tx>
            <cx:txData>
              <cx:f>_xlchart.v5.9</cx:f>
              <cx:v>Sales</cx:v>
            </cx:txData>
          </cx:tx>
          <cx:dataId val="0"/>
          <cx:layoutPr>
            <cx:geography cultureLanguage="en-US" cultureRegion="PK" attribution="Powered by Bing">
              <cx:geoCache provider="{E9337A44-BEBE-4D9F-B70C-5C5E7DAFC167}">
                <cx:binary>1Hppb904tu1fCfL5KcVJItXoauBJZ/QYO6PzRXDZjkQNHERJJPXr7z5OqjpJVafuAy4ecI0EybGk
I3KPa63Nfz6Efzz0T/fjizD0yv3jIfz6spkm849ffnEPzdNw714N8mHUTn+eXj3o4Rf9+bN8ePrl
cbz3UtW/EITZLw/N/Tg9hZf/+id8W/2kL/TD/SS1upmfxnj75OZ+cj+59peXXtw/DlJtpJtG+TDh
X1+eP6lpfujiyxfwHznFt9E8/fryu7tevvjlx+/603tf9LC0aX6EZyl/lRJORJaS/PlHvHzRa1V/
vZyI9BURnHOKKXr+SX9/99X9AM//d1b0vJ77x8fxyTnY0vO/3z753frhwt3LFw96VtPJbjWY8NeX
75Scnh5fvJnupyf38oV0uvxyQ6lPm3j35nnXv3xv+X/984dfgB1++M03zvnRaH936U++efsU7mFt
/2OOwa9YRgUTGH8xPP7eMXn+ilJKcs7/7bgv7/7imL9dzl975etjP7jk7cf/lS55L8daKnn/P+gV
SBdMRE4z/pfpwsWrLBcozdHX6/T3d3/xyn9nRX/tmH8/+YNv3v/f/xW++XlGf5s13935/1rO8lcp
oilnlH/JGrD/t+UMsgZhQTOasy/+Y9/754dC85+X9ddO+uHx73by/6mK/ecK90cb2NxP99vn/vFN
kfv51d+r4w+P/qzafbHd8fHXlwQxwb9x5OlLvj75JSsu78fY36vH333xzUNP92769WXC01eIcY6y
DDGEaI6yly/805dL+SuWo5TmaYq4wAQalNLj1EBvy19xQoQQOctSqJUIgsHp+fkSfyUENDWeQaxw
xOHS71t8rftYa/WHPb5+fqHm4bWWanK/voSXmy93nVaawutRJhASKEd5TjIGQWUe7m8BG8DN+P8o
NLfj0HTrgdc4XYtqYeqiDnV8N+CwlHWdpuU35vmLF56+8IcXcsqhzhBYuWAZNO1vXzj1eTMlaxYP
IbTjDUqWpcwyL/c/f0v+57eInBPKWJoxTAj64S2pQ4tNm3CIk5V7T4K96fS4lJIzs0WJ7wvsRr9h
tk1unefh3c9fn+bQ4n7YJs4QyQVlgoCRc/L9AuY5CrlEPh10n/VhF3yz7nreoMPCUnERSDOehTaM
bh8rPuDCVLRyxWhkIksHVeKNFimuC12JeOl8I01RY9YXYvXdLpIO7u11HIaS9sm6FMG0mSrSysW0
nESMn+0Uu1vaim6zBrEeGpYuZcUzezZkqf1YSRv31TIksjA1jkOhLbW2yAhfD8gG/DajxFyNvsNv
SVjC64nO1ZnPnLkXwyBR6fQSPzcOdrSofnnfzyruXRvURYWTvhwrKXDpNVEXTYX0p0ZGc4drBA/6
IPMLZwPZ4iyrbvOFD9NmcQbpI5hKDWWNETxbCcbontQLbBNxR7Z8leRt1FFseNDNdWpXdaFZPvZF
X5O+MFyON7pfaF0s3E9lO3FRuKxZL1ca5KFCg9/QSo5n3UzsjRum6mydedhnFvdHO62wHDot71s0
LO9tu2ZvwDtkuzpEtoqkfTlnwT5E7SEfOIYY8iq+a6ZK381oBc9Yo9Ah8znkkB+rMzqp/CLDiTxY
28TPfjbxHRrhkYhG9yHTQlxUoWZHW0/47dyv7kM7eXURtM4vhkGARfLWsrZgg0+GIptXVHR9b7bO
VH3p1UK22pLu1mRNXsy4zsqW6PGBVfCx7jCmZd2StT4kQbhCsdk+BAfpLJIp7jM590ctwLmRG78J
c9s3G0fVqLYoc/3ROCGKaU27DWdJ2Ce46m5rj7tdJhp7xRBPyz6vl6cORVSoaep2Q48QFA2sP8lg
l/dVrtfL3C7wVbSJezNUosABdpz7xFxV3SnZE5teJzVaSpbDXjLW5sWUN0O5dB2E4tKo5Ql3Mu6j
JOy6ZuCJaslFwZSJmyGhbNj0Zga7drW5532elsFXbbuZQgJ8RDdVdZuhyj4AzlkvlW/iO+IHuVca
kqEfbbdLOjU9ojbDbyWTftPU/brDCdjW1eDHdj6Z+hSivQrLUxxh92sXSV3YFTzBMh33DEP8j91i
7vqaV2e96+584uazRo7DdS0+ozlHSyGTIWsKVw3k2Lj0EyLRfiRVNb+vCcRmQZJO7gnSYsNY/4lV
fHmaGDdXpk0hKANZytCAozKeTLvKMnNtBsqu88mn13Os8Fslnbmb00x/SiYG0cq7dTeSSn+iQxrP
W5qkb4KIwhRJK/JSKK/va8GdKiWNSZGPebd53pxoIAmcdsltiEZNmyDb9dKL6D4Yl3S3UU9YFEsN
9sETrs5C3w5l5pE8TJpwXIYqyH0a5Phg+gyBm4Zu5mVshP2IZZdftChyus0ItVdTRmpBPogux112
t2jlpwc5zuxOYjV09WGhq2IHOa2J2gKj8/NltL5Kz3xNZ3ZLuxgLy0J8h0WcSp3NjSpwGsaNtWu2
gzhMUTERkqtChwlK06yuZp2TYoIIO2NJ93pCLrnRqL9N0vmKDWbYiYanN+uYQu3kgV6Naf2mSqur
IbF0gzgkUU3W5jiQ7p1LGd7OfTVvZxZ/k2KYt2yZH7uGDMdE1Q9xZs2xWbO6UHg2F3pY/LZPl1C6
qp4esXR2W0t3HiZb7Xo/4rOwdvkGx5GXPU/rTW1qecVWFi+T3CyxHNfqLGvFWdIZu5G9VWth8soe
GUH9hiSBlRbVaTHIbtHF0Pefa7NOoqCp4vvZsVjmTN1GxeWWDEl+3ja1uXRZ63dZAwlr2wGfy1iF
7ZyL+rhGcCTBCzoilSyHgetYmomKrfYJKQ0VkJYKt/sGcVOSZEDnPpX5Ya7xGzpU+S5j3F1gldN+
S8D2D854n5WpzZO1GFbwYVH303IgRvJdhv0npavxYnakLxVB87H2Od4ALsg6aGGZ3cTKPVDt532d
1tDzoIGL3dJAm2tImLatyuwtTTNc4Klzu3qZm1A0XdIWuQifRLq0haddOFehXgrRd91dnlSal1nI
4j6Xi/Qlz4zY5KloSr4wCkIFtTeAzsSOzSnlRwP1FW0iFJGmsJ0hrjCQV5esd+bcr9W61QSRIwnG
bWjTQFa5bV13tlAaIjBOOD0z2RjerZ625dgOSymcOvh+Q5dEn+ExW+9Nj9IjicP61rRG1yV2+SGs
aX4c5iq+lh1dN0s127NuMKzMSD9AuHdL0fu62zpG2Q13rANwEPFc1KMfCmTEzibLsE3yfi18SuOG
5bT9yLNaFgJFv2NVXIo5X5KdbXpdzPVw0+MEerlE/iglDbRgy7Kpkzp/34sa73sJEZ9R3RzFEqpt
7it2qXPNZNH55HaYgrjCdo1nUYxLX7A0b9jWZuPwxGp71VQrv8jDRLKSeT/WRZ+SdDOwprs0bsVH
0wzclrLJxvN+rejd3PLICp563hbE9+68iXUnyha36MkMw9BvGFdZ2KAWLcfV2rw0QzLuZ9ynd76f
pdysnWwv2FS7h4G2GbrEji1rXWCF6/QuXxA6+KZzskAAn9siCarb8SZdftMt1uXU+xMuMPYmhKnf
ZHZReiuWQZ4noe+7ooq85RB+Q3Mc6TJe5NZpVo7Bub7wOpWHoETlylbq9DqSSh7WRpnfiBGJK0cT
u5NvUPEMkdqWQh/q8XpoU6cuclKlUJzN9Chk5U1Ze6K7HeocNBwDVfiz6nuxMTGpbk3HTznQAUzg
FTLVpk5nAESNHErbmPR6lTK5TbQxsF1Jm93cyU5saiTScgCQ12xYFsxvwcyr2TYpOAmv0J3jDKjw
C/iykuC3LY7u0bS8FRuSNrA/PFR9VYQYyRZgaPYmdBZg2Qkwqi1ZWLdpG9IfKc/URT+u64Eh5zeD
9lCMx7Zui8EQW22a1EFzzwed3Ko6n99LQuvregCkodLMXNXr8ypy+5EmGcDSytpTUV6H+HlqAZPI
nAM8ya3Fr6EMqkdqMr1skjpboGsvUCprKETFMMJyojNx3+Bkft9IBL7DNhGqRMMY9/WQxXO0tLD/
efGbuoZergFs3RlXD6WLJ/ibZ/qOT6E/EgdboDXDb8UQ4mcRjdyHtdJb1cq8wNK7WMS0QqTQhvbH
juT25m9IBP4zieCUCCCN6Fm2QT9wpXROqOmjHw/BQi2JXJp2a4c87nQMEBVS+U3eUP55IXE5SEHr
XYLJvWjNB69qupUptKkk9fVmNoO+XEbC7hZj1KVcaXeO0EA/EdY14dLURi3nY9OIY5XhboOYXHcy
gCEHcOGhzmV6jXBjtmMYACf0Q34BjXvdqUDjOWsARY129ht98ixhc3K71GP2Jkl5/DyIGqUFUYwl
BXUQ2xnLAG943R/nGQKnqTRgJSApgAfrDm5aGQfXj/UAGfCMkYJa7Y3q7cmX+QkudQCk8iF1BUMy
e8NoZ7YkVOaqo1hctLOF3o+B6tVLs7yv16Ruijwl/aeRzl12NvUrXy5s5WswkpQ1lAI3hW1adw0q
Z0OrPjlQ2s50LFMyJY5tYEOKvNcVw4Wz1HRHnq19feyglWyq9fSLCoBUtUFO4KysZIbFUqSAdM5z
xNwj72kwUAUBS42oadWmqhrYca1yvQ0Q/E3RB4BQPGBUJBHAFdAYdADWA6EtmPuAWoD4ROG0dGmi
x3LIzXoZRgDMomHmt9jO3W6Uk9zPC3Q11Pn1UK0TALlGZfP7Sfaf+Ai4fQ3Y3AnfU7kZo1wAzIPt
8s4LebauYHxI9uR2bAk9YkjYm44ucl91DVelSKf+OKVC34eY6HsWMfRk0hNSqAD+pJMYXwMDEBfR
or6YPZCtDEYVH9QAGDIETI8oTPrTdMLUqsn7shmmxZds7cNSxN7PO7zWw3F0LaBFxWkBPYvfDHSc
3yM8ky1RRN+nbpR7xADZGgysZTOqFTJv0th9IC0QeWt7czVxyZuiYkHfT5USGyomQKQVYxMvdbpC
jjg0K1wEDBcntNoHrQJYZVj7wgEqL1LJ1oNqoBZZY0ENIR5SPeSn0tUM7bpLIwfiPRD70UcuLrAH
eutMk1/U2IxnMnJ1kdVguBEK114hkpZaqOW9YMBfJh/lXpyYdy4A5g8d8HIugZ4Ir9bPArJ03Uqx
mrsuG14vgZvfpnkCmoPS+hor5orBN1mJGXypSk6A5bTqwHIQD4TUEBi6P/mA+v6IT6kagMlCI+n8
xgBJ/ZTaMO/COLRZ0SJPtvMigZGeSIMMCIhTE5i9QWoEz+gWWsBzDTSqVtWJY8fzjgoIVQAbwKdp
BqY6kUHd83i+1lm8DAuoGs9hSAJQXwhviw5hTuIlq4FpUhftzTPTVhTCZ/C8LzMMjNUOwD56heWh
Z9DIepGJi7nK0vKZliV1AmZgFhgFCD1g+pOAskoRd50BIu6b5vMo1ni5QrqpMsQamoAPoEGIGlQD
ZEJ3aw0LQwHAIwd8CK1w1jy8tvMCooiawMW1R/0xrLAjlOUEyPMKKahzD9JHlTUgu3QoLc2c6G3e
QggqEEz8Vg2QMXUY0mvSZekbaDRoBMFhcR+mdgQlZmWd/bhSBgJFOnn7ULfAdB2a4juVQJpXZOyP
yYnU0pRBWQMmVZ09M+REALEWjquxVKuEbxoIkGy7QomjGF7/zJs5A4YWOtDMlG7YMUHJE0LrCabw
BNzXD9CkrEPd7ktoSpCMDANKrjSubhHu1YXRpNvYlIkLMTn7UWPQLrCrQcuYTzKOH2hzvTBAuGWN
JijuCXGPus/1p1CPYjMim194DnVW+wZM2KR2fECKgkO6bsZbB7B16zKARVMLOX2KZzueyrCrtDvv
XQ9KUC45YI1uhMfzycZzSaHRNie10dv21AUAGH/CAkKCrbN7nG2l7xtc1dd8NkDXx1P8dAyAF1Si
os9gO9VJdXiGFSIHZaruVHc7+AXYO4M2mXFM3j73BjyB9DaLurnmUPKB74N4tSQpu+Z1kkKr8Lm4
sDlY2MaOvPVjXMp8YKBbaEAgDGhI2WQtfmsy6go5gyNzEOaOsUfqYqWzukgJgIfh5IMG8NKdc340
u3HVAIo8hmrG6uV99ABPTAe6CNI9eZsMCoot1LGP2glz12R9dQa8MSufpZhlArFIEFOd1arxmzaA
kOGgmpgS4GW3q0WACNFhPcwTgMwBEns/UQrqk+4hKSJa9KeeJCAMetDqqKwAok0AWGhm/YaAqLeF
Zg/B81xmAwdrAGOP56Nm9QdgU9EUkQwnHOcCsP+RhtcjkOV3hgNaSlYPVHFxCxgTQXlrFsijLqfQ
tbLFALamEGsJqm6DB52C9GGQR8VSe+ZND+LNqVRSBEYZO9pdr4J04EqZgtqQuC21OfSHBqgq5OQI
qqCaeLzkOcZvqeXzE1dV2E+w9ELZDhJX5gD+TK/Nb24YAXJYt/bHVkGSSSOba8LVp2VJwWorT+iR
iAZSZenABlOPAIUu3n4EVNKyYg6xgqaMdA64ZU7llU8QFFlvAU5oXdEyj0vcLDM4PIpuvewISJnP
H58TMw4ttJgEz+ND6qGnGmgqR7VO4XUgSdwNTSv32mtIaMnsWc1TKDJLCpHNDF/TYk3lemmyFZCw
53EXXPd5ZqvOto0D4vAs0HFnPjECjMCfUEAMFqCwIeu8BwIHO/ZH3rf+MAt2t451s1lPCvgERHY7
pxxe1ulZnE3VpIufw1V8QqPfK/s444RTylNMOc9Po4ZvRgmzpnowrZ0OTII4XGbrnF7zbCLbevLV
WWRQ2pocwPdUo/Ca13rYti6lhxXAQV0p4C6K2jNHl3iuvLEf55mx60WS8A5Kwrr7m8XC/ORPixWY
EpqJNM/yHxcruOj4klB3SCRFxeJU9iYa4GIIt811MgMxAbUCgChegBR1kwNoBVLGWQeY5741IK0+
O/vni3qeSnxvQZj/EQZDPgGznT/NRuoZIjmXtTsMA7UQaDmtNk7M9mL1ybIfx7nZAHtft5FS0Caq
GUS21oB3eXNicmzpblsPQUX7DKpBlepHI3t+I7LabKHKAjBMRm0LO6XJ5ucr/wumgrMv3udcUBBL
vvf9SPJO13UyHeqE2LMqB90GlHtAj7a1401/El9XasVmgZr4yUXoIsor4IXzlH6dvXwdDr7+Yq8v
I64HbeIo6+br8ZQ/Pv7rrR7gz/ORiX//8nS65d+fLn8/FvPTu/ZP+jTncz/edFrNH98Fi/m6utN4
8LsPf5pV/j6q+2Ea+eWUzX+4+N8bVaZpDlOwP07Q/GlSWd738rMevzlT8DwBfH7q66gSY/YKw1Au
RRkhaQqZ8ceoEhP2ioGEijKGRAY9Dbjq11klIzCY5oDMEMMwQ8QCCsPvs0ryCqaXgsG8TwiY+sGY
7Pc9fudIOHT09fO3s8ofowzOJmSY4ExknCLKCIN56bcVZlqpNnaew5XyNN8uvoJypmnLu7LjfrnJ
kjSetWFR3RahbrqbNFvedcwFW7hc2Q/fWO+vVgNzYPNNtp5Ww2CwByeMGEyJSXZi79/UO6ai6XJQ
Eq6IVfiq7lbAyjPXWVOGZdJ5sXg23/HFABweBzFZyIWxq4tqdZyVML1Uj/k0oWv4jmbeENCE3q1p
IvA+Zmn1hGOCw98UPfLD7PV5xRnPRE7ylCPx41SUAT0C38bpioa0rjdZWPt3C5ATuoPeqqHxxoDb
jeRQTVaeRVnEDtH9sIwRb8ZFT48NSF64lIlJAYJIvRTTcCKzfEy7elvrtnndzfnZ4PLGbeCUQ/7e
Nfa8630attIl2aUcm2X4m1Hvn90ARybgzArhGcQGfd70N27gMalhuNS7KzVV+XtdQ3EqWEcgNIya
w2sfxvyNqXD/8efuP8Xat97nmHMsOAVSAEN9Qk/L+ua1KYIZHuhG6kqJFV/hrpmvlBtLKarm/c/f
9ENfRac35YggzkSGczgn8P2bjGJxtWOjr4RB7N56Pfb7Csa8pOhMs0UWZoglRVHosqWpH/4uaE6j
8u83CoFCUgK6cpZBdfjh9XC+Tja1GuQVt116P7Rzet/1pzWAPOe22ah1ERG4fu976wko5po/gZrv
jj6P7CJkdEQl9a3uypar4R0dDaGbBqbUTyZZzAYl68DLFJTl8ZBSAA1/B0v+7CjBT2WDAn+Dcxjs
dFTgG0ehbE5VmlbJJZ6r4V6OkwNZOOkmxQoao6rPYLze/VaL3FyE1Ta7TLMgT+MQ/nni66phmFUD
/9Tt8iRHyh+X1DT87Ocuhhn/j1amDMAIByQCtRWy84RXvlllNgqJxmaily2zpspBnwAWsw9ToPlu
WuYZ1GaLbpYhpnPRNA0vR6z2joxm3zNDyq63w63p0yEUHMYEH3w7wEzdTVNhUmveZQ6k4MqqCvhv
28pCTrT1RdU6deVN4q5tslIYYuAcpPG1gkE8WZrhkGZTf0va+nUdFQ1FP3MY4lX27QQzJbrJFlDo
sIwEagOb17VAXrQXfZOKuwrN7KzJBL5Y67DkpUcNA1bdR3lMxAhqio9i3WAPOGRtw4NxdnozowTE
Gz9MfFc5Ox9ZRchb22Df7YHXYlmsTVf9llM0wmhV2eTTPPBhY4wjx04rc8Q27x/lYjLIezp0b2Re
BV4sltVnYzXOZQQ77EE+ya+tH8KW+dHuMA54gTkdx3W5+FrYciFNtR0cHUEyza+bCgj3BmM9HaDV
EF8qmBsXYuL9xzCg5pyMuXmT0indz3mbkJ3LhvVeZHrcOhQAsy6dAEk2BHRPXO8/u9oYUOLIhOZC
1WSpd2FqNSSH99sIgyyxG3XVbPqJDgcFtxbQgEYNhh4WXrSubZOSV54XXKdhLdjUVyWdEjXsx6zb
1myO6MZTzOBQ7ghKXAuRNIE853O3D5SHi6xb1766mb2dhqGIso9qfGyqhpD1zvkk8AHo7wilXD/A
bKqd6FjM0zwbdDV109CFs1zadb/k81Qdh1GCWtCSXr9BJz7VAiSdyxl8UBWgA+YB3DUIQHkVqCgw
X+m83Wadr1E59jBGvm4syrg+dJH7ZhNDn08XmZsoRJSvQNTz5Qy9cJclTVtdL5A6WV1aYQQEHO3c
sFO9HPOit9C8qm1YZFYmVY6BsMUKKVZqmLoPZZPPvtr5nvfD1lWACnapqoe1FGsKFVORjs3l0IxJ
D/A/1u61g4n9sNW1FJ+TeeESbZAm014yMYurNKnq6kxRPvG0LVVwMPsCORGqW7M1dcOHbeWW1e7y
0Sm5i302xANyMFMCGTn2suQhjf1+lFYmJbiVfEjMsOINpVk3bOAvSq77FiUOTK7Uh3YY8uFIx3zq
t10zZbfrDJx+1yaa4PPGN4CsC96QZtpX42LUG2jG9KytV9LtZgMr2OqpBz1R4LDC7L+Nxl8OIkJo
J5Aq46bCeD4baZr2m7qi9bzhagF3Su4An6i1petT39E82whYwLChMD2yR4wkO4A024Ec3XUwIZda
Vpt1rrq0SEDkyF+3lW9ZSSXQNRj7tGtyjqqe7bCpYFTNm5ybLY7Nqo+NxL7edjlrfHG6D4R9mSsI
n5paOM4hYW48BZl8glMzGg4rSMgjAuMqJVeYZi4sgZlt78l8lZk86o3K7XSZzgpaUu14dzrdMMD5
410lG6zuVhC8mjMbBziF5Xy6ynM81dNb1pL0Pg0VKIYCQ/DuZhXgoILLVgmLn3ELx0yo7VwpfLWV
WNq73oN+U8A8ZHnj0sz/ZsaGHuC8UV1tRZeCGg0zQPietNdt2IGQiq/WYGBW66YUv8VTAnf4LHGi
nHDkYbuQoZWHMRDij4qDXnktE56/V8iegrNtrdvz3jXudYhsEiWycOClaLyChWkHRfccOlj+ngoE
0T1AlRw3AudBHyeXV+R1O85dd0uEytkxsBbOUkxhOoHPJobXaZdkAYb7A7xaa1D/i0CGad2jjp82
f1o6zI9O6zIDvmKpgl3MNgVTwfSxW8u8WyB1TF938kaBFFcV4wyooIZrUFPJpJpri1kcVUFNA2e7
Gj+G+XJIGgOSGZotHIc7HWvcxsWSU9GAZCphR1BAQo5POBmOgr2vCM3PxCKlKESTdhAXsc7uvToN
+sLYxls6BeTOYb5J2nNtVNe+gaMsfu8Uwlc2r+1/sXNmy3Hjyrp+IqwgCAIkb1mDZnmQpdXWDcOy
vThP4MynPx8t79ht9Tl2rPvT0d0VUpWKBAgkMv8hP3uOa7oohZ9yr5sAbuomTptkQvbidzMJ7qou
oDrm4uD43fq1KAv9fhl7p7nsnHUq/j2baq/EY1H9Z93CPYZkHXIp6oAAas1d0/7cmir8N/hWda7m
NunABAhzq53Tj1kz9DdhVeT6qF3rJoQ97XEcpW74ZHMxJafSrdkmm4hVeOUBzXbfKwLyeh1IltRp
3iP2KdeCGV2mbTpxyMzdjbQjlHocIqfgpFXgfb7t8mcbTuEnsZKmX2/hYOW3oa9XGAMp/ekqm12+
aqlkukFDJSa5anks80EUoTlvzTQNd8vqlw/51HdR4PeXXgWaf7nNhodTOLLfLtqyaJo7CHjvVgyO
B7TZ1dV0k6xzm8IP9VX6iUyk/+aENWGE0NlPUZH2cw+cOgUdp8DaPZRJJ7O/ZLOpYIo2MrD1EZGJ
CPmyPran1BdFci3idn5JE2Sh6GJ6U1xloSM/LL2Itws7dn12yraRRZq5Q67eL0W56fvKtGWJCm9y
zJ0nU285rGQ3/WlOW57aHNSwfHbzK2IHhP1JLgrR0FS6gb3Ygo7VX3hL4iM7WZ3+ELe96f496xV4
OrWsNU668Im1XvXv67BGDTa6bZifgyo1c7SMn91gnAMZFcXkP2q3BlCcdTJ4d15cBtNHuPLQcriz
ok9tpniaFA7rcpupoWhufdum6r27OKW5ipcmZFzLIpK7wgpIk6rf2WWysXG4K8uY+0e0lZz7NCjS
47w4ztXaeez71Rg/ixAA+nc/stL/j6S8eo9+kbj/ot/eVdD/byDljVL+b2Lx/e9+QinG/CsECkWj
DZpHSv+/qm/pA4pIN9w5fa0B+SgFfiIpvvwXjI+Pxt99VYP/hFFk8K9QuRp0RaKpQ9fs/zcwivoV
+9yvKF2EDKCf1BsqcPda5G+1RilzW3Ni6O+BjIcxPLmt10KaOe2UbU9aj23xxRNW9+e6W/vVOw7u
gpT6IJrYeUlq69Xi0LhL4V+HqV7HYxGKurucw6rs76hAWrFGTbHo9kUXQ740R2FMmcOsUZvJ7wh4
1/FjmS5++QU+ro2/KrBOc5+YrGsVIQucoDx4rUZKmUrYp/qYlNoWAD2zrqpb6a8dt5xUaFpu3ErV
+X9EPzX8zd8e6f8F3fkVVfDMLtmmDjNeaHh82AB+nSNfVtmYmjT4Hs9NnXeXQ+WVHiTl1Fv/cuuT
AR0ZvCqQW+nEmRv/oer+AZj+b9XN9amrEX94KiDPkv/Qj5ODBb1xTPYtl5Aj2WFolFbk56Eruvxs
lzmxw5GCMfHSSHhia+v3s6fW3oUi3sysrgeT1j0iMbTdVt6jdut47/dzZH6pWT2OaIW8nSVkKFn3
ZfnrHC1pJlBKK/HNCDs57jHZ/MTvzmUAwYQ+2A7GPJMZxcPV76/75tns1/VCD38EWRXg1Nvrov5t
/Eao4FtCVtebaHKAf/5KqRhr6oc8G7N3dYxLcqBSblzX/AFR2AGDvz0aLg8SI0H8Qsp4lz3067AT
PWXCWVL1TfilD0yvZ8foL2wkMVw1W+aX95mQjbxTRbeOD0UPOQv3mWYlk/L7ifjnncBTIJjRu30D
X9Abl0MK7l/myMq/eWZmy51XaTZOKG1nNKCoCWLPPNuRKQAANb5vnhsyGwtymjVOO//hqfyKs7Aa
NPaRANTY6B09Vm9Ww2AyJ1+LOv4ah1ut7UXTIf9eTyIGDkTNHdiFJfL78cs3kYxroqFhl7BRFeE0
eDMBSbjlOmwH8YL02q8EdHC6b4gKlwA+zJFyZPMOWUW+3KLjcBUToTMnHR+q1uQrQgpp64ewSitb
w4c31v1YTVndv/z+Nn/Fdjwf0b3jgRFr6RPDlXkTS6hCAzjzbXlZ7GBZBM5YODwfZ5mVFiSzCEMf
WpeSahfVz83+krXJ+Ifn84/JkhA0+DLRMQRgeYS2X9dt0Ln9sPamealLLYjhOdFrmwF9ESboGxVr
4n6fjLYA5NM1EdW2lZX6MhAkrEXUpUTbPfJTws3c4VZON95StE31h7Ai3y5ruU+S7xo/wCOkzVuL
0KLmug3rTb30sWsENOHQt+X4vtuGrK0RCKwdNyf8auK9Zu2qZj1CxK7iYW7b+IqEq8yTQ4Vcf72h
cAUWjmpcWfFwGLUjyo8k7ckGxKXChZDoinyV9bVDis+3FqgwscL8/vm/4S2IVNQEkIzGkQiTNYv1
15lnZdZISqf22deNztGTIMpkKWIGCEN7kDsjDZ23vkbPcvR4b/wRTloZB7y1zAN0/Xmc1Z/3kPc2
irtkG5jQIM5dNDz/WBbFAqBCYdQ+U9BmtjspsELvzpUp2j7VjyvTEcZTuT1VKSpQPxpTCxd+IODP
5mPSbbG4tBWSlCcrxt7cB5nZE4TFm6oyvChGvT+eplchS2idfD19bG1ebE9bCR5URE5Z7odWxuzz
gJo6TPmlgvXbntBdLjw7pfOVl35zkgHRo+5Vfzb+uD+7YkkyEozux+VRsot1joJmyfmKhuSBO89E
vecGQ6ur4svSm7prz+Fk5YRusNmGW2uL2EZlWVm3OogkrpbLxONw/VwHdew9Tc4kWWR+kJBnTF2N
1PMPa+Nt1GT28fDBJCgPQ5+Sb5aGikGgZdiWz5useptQiSOy71EV5ygk1djNBIrfr8a30ciFWXZg
6faslLP77RXBBvsUhc/8WUHQsxjn0dvDn9v7BYe3wTZnnmMgIBYhGAto+Z1PYGGd/v423LcjB+zG
UcZZoaEXds77102xqWnsRGiqp8qrq0Ghghq1+N50aUc0Qqtdy5ON/SZ7P/VBQsRpU91AMgWDi+UB
3z9yFnSISXdTxgGyZGXLYI36WZrp4xAIJzug4FuaGxaRk6J582JKUw95677ZU4d12Ewp2cVVnBfD
vvMnT6t3Lud9u0aqQOgyXfx+xG/jWgAT6pBuMGpGCxD75rQqTJzWc9f7j3hT8AidtLUo69xp29et
R5LlXYJgLCzbBRENL8nwI7MVpt2XtBrz2Y0f4sXsS9rtsq2ylxlsyh4iO+xq8tyVU9tnF5teC3Zd
PFd7Ti1XtIJP1pcd2+j3Q3J38udvuRBUcRBwbBLVeIISd96vD7FTSOGavHYfgyFV7K0BKTE3MAgF
SvxzH7sOdjF5jtNl3+LEyj2k2LbjoBGpJI2XYKP8qgFuK76UYe7jAprLfR66dW7MfdwtfCpL1T5E
RH6mPxfCt+rc4j1Q/WHlvGC4fxjamyyToYUSkhnmCLOqR77369CGpZB+OTbro0qmPVINtmNpbeWW
NV8HJyjcGrNH021Pvotrpogq0UgeyGKqMllPW2XAGc+hEuP8SJZqmQ7cDYrVp6aNaFJnAoHThTeX
7R7dRsLmZea2M2FtICPhgtkQO/xEjSWZiirxmIph8FMxHHQ55myJNHRzfnqdnz0UFl9+Pwlv9ij2
XLzHnF86oOx0/pHqynnzzGo68WnCFER0eE1v3TRYpuJAZQkx+Kew8OY42i/pKRJ7oHP+I2v6ddqd
HKW1aRf/Uz9KVsiwDgMLirOf+fHy1mv0KZ5Fs/SRKQGm7WU5xTUpC0GPWQJpLIf3vumDOD/HgwcE
QxXiTh8tVntOgEqw8Yel5qD6+diSDv0tSA5iOfYKu2h/HEmx7A9C5JnkJVzzcProNFXDneii4Gwq
zLDXqb+fbSw4b7cT7LxWBAmUGGRBbysb0sEexmlZP6XpigowGsZCtYd4duL83ribZ9dTl1rTBlGI
0y1PI2u7rLt2yhFGP2rJdsQN0nnh3cVV6qsDZPGSfHWyEvtLPHrmWPh1U37z8nKzH6vGVLSJASCf
33mTdJbtGCCY0+2hI3/sx/M862C6t10KNhWZChXcLfSbDI91bUN5yJdhtDFuO0C0PMK3aYHekgWT
ZxFNm51X9MlC515+RjQyeg+mHFYvOTiLHDF3teGMoJP8DYPc1ZD6ZGYHfyvnbaOsZSm2V0uxxiM6
PszN5yn0E3XUlVi2T2gJ3exp9MokPipvcOVhpT5tVoTjgN/HMHPBdBNdJpcYxIdj1zjzdhOHteNc
yFmm7hl5YZA6p7ZoKu9x1VNSiMewcZbl0863DneiH5CjcWL44zdtjbGPeAaSuonappFp/yFENwEr
mYFuAKB6QdVEyJ+Ui5/Mbn0XvMgqD+pvqds203Jkqazdd1izeXbgaede5pfI0zsdHKkDdGku4koU
5j6UIKDFxWRwnJXp9zSo1cAsI6APrIeTuZlY0pu0qHo/KOMMxjnVtde2/tUYQnWUt7XGm5Oc8gm9
3XQ7oynMsnOMjXjUH+MaB+aVyb00Cc6sFaOKqJ02h2O97INsxjssPNPhGojtlq9Xc9KLFON8VnHa
HIpw9giwU5uN+q9GjEbD7s96FvFhVqQt8n5sybow8q4qWMy7EtEML8PrL0WWlbznhFT19rA1vde9
bFCF7nSdG9sm7qVchPBxjeYa8+jFUueyQjntTfu56GiRMZxEaQ6VL0u8Gic85DoN0cWDP8+tD+8k
8rk8+4USbntVjGsYTO8MYgjU+10Y7piEbwedFk9+Esdiu8Fx2zNTYu0I2XdE7S7VN0LFcBm3UD2Z
LN/n+ZwH8WnOCQTJqcmk4t4JWfstrZMo8YY7Sbpm3dFpi3zXsw2O0PVfbuLWXK/KyzB8HKGUu4Ol
9GZmAYozTpCDNOn+Jdw/KUuEl23P6b20Z/SHFsZKmXOezvuMqXIoeGn6dBAPdeXvId9DDhz4h3Ae
GhbAVpNvXAyhrfhc+zrUFFk709flCJd8zpI+5mplKiky0dnvj0e2Xurqf8ty2ee59lC2D0cxCsuj
EHWBr+R711HQdBhLMjKtAwD3uvv1IGJGwRPEVY61JK/HrGa+BJTeRTpunlzuAsRY3ErGk263B8PK
4gqKt7qXWCz7AjNW7E9eo2/qXsoQHyAtACZEXxlHbNDN3MNU91z28HM81qJ2fAFwS/mdXtrGPBTa
i0MFmxECAGH/TyVz8XP1IK+CDzz6udgHFw/rj8kYWTX28DPHDfWm959Ur4s75WRWPPycakzy+8f/
Z5JfPwdS4BZ3vttW3ICsRTq9FJlpM3uR1Wpl0J270Z0rSvC0Zc4DBXiC+ku/PqhmmwaWGpX3aJOr
WoZrrCPUQtNq3oXV2DBLMIElH4FWkNwVMAd+96hw1j3pxSLn8svST5zuJXydwaZlBxHXXseUuhk1
2qFtajPLy3UM9urceX20r8vDxAXW7JPxMv7ipP1yHzxu2JR1mki7XwaSzPDLtekcP33cROaNwzUj
Vfv0vi6kbVzhZ08Mcv8Wmdmev0POqlhd/ZDut/46oYjCN35oStV4/kk4GmruanMRjbcXyQ4iOac5
G+mmcBvmyY589DPPN5t8t3uRJqlZPr0mY2XwdiLZfdeDZe9f6E77izch1WFGkGLwkQrrBy/1aJJ0
fhzLpEyyc50EfG/aKZmoy6LH3TzcqNe1kuV9OPgXP6c8zCfL7SyZKvgSToCGi+dthlH0YsLdapxH
Mrc8QF/diaHODk6fxFxc5ylCS5TjLdgm3tEdueExpeOV3yT7dkaStQM9xTpi4j4XJIvLeq3Cvlya
y8FrHNQJJRrZaoriHtXslQzlyOfToet5IWnU5X3Vjfx/xStjnrUzS6CiDiy/vJ+KIQYUmG3O1WWa
NNOTQQxPFRBDVLIyZprKABIvqsNoEgU2LcfgVFYcsdVpEXWMNkuHHFXLZ8csOfEmKZumKC5/wsn5
UKY2P49pSb37dfV6T6nLNk+Zjgv1Y890TVAyYX08F/H2pNKgmYfHTs3pbC4x2O1DX8KkZ4pUi9Gd
ERXJ3OuT2ZBX40Sw3j59cmn3VbP7bnh5xU+Dvpj5a3xf+3iHLHN5sSxwPo8PXPNTVm7gyqHnFnUY
AVmsprpTrbR8wqxyr2EnPfasq1eQZZO6tDH0fmdj9yqJO4Ql0fYKvcWU5aCGOGEKIMpYFpS+VUXt
VCNZAZjQN1VBG5GZHgJzBgiPJ3kgVCqzO/7u+5VIAxOozD55Y6Z2qMAdgwIsPi/rhD+ndxCj/DyT
nsXieo57a7N7jNk7SNmMHHd3foGdavjgAWOtSFniXKxI0OZWl/0R6EIabNGAQObZS5SkJOcwDHn4
m/A2RmUw2TGhlY73ObeulSy+15nMhwYkWmVOpqbreYO99z8U2ziLB0syDaqwtV1onom3rC8xtxsz
kHvOPoa4rQXBn/JyR6mw6+wAMvxOM7fPyEfTTr54C21t7o3p2jU+e27TD+I/cyZznOKcaKrUUV+C
f4tDUErfPoFIzsXwyUm6PEkOsV5Vunyc8Tyq7htuZXQAn/s4AJq4sMU4VeFBuFtfPG3e6HqY1Tkd
8IIMCLHIKX1fh6McWeVVHroHeo+swkeDOsNMLcefI3l9lh3iEqZHa1peMKwf4aYspz3+hagJeCH7
3zdv1lf7J/BcMWdx7u6/09IRfGJN1v2DsQKdqE5U7ju3kZVxy1ZOyBbj+21YZXvK2aj7rgyr/Z2f
S5ackkiE3G9/6xWC38OpQA+wrIgJI+laJ3g/pn4yN9GMdokHvW5x6F7NqPX4o0RsOxzYwxPx4pGW
DVfd5rC+PQRz5T245X7nRQbT+PzzQtqGHGkdS0U8vFZsNU09/CLK63b0PqDF2sdXvAKNXSB3MFqU
3Q5C9tZYzztWSdU1yD06M4qHMdMtn8c/lLOUMjfZ0zhodq7hT+V+W+OPDSeagnMkijXqGVIZd6cZ
kfkv+5r0Y7RJWYSjvK6qU5qX7EbkcjsnAQ68B70iMHuK5fVS5Depq0o/+APw9aagB8shPrCCXYIb
ZoW3sDIyKpJT+jk8pE1juGs/SRZ2Awb+8r4T3r6DygngJY0mJEzc+x+qu19ru/3yZudqHLp97WaJ
N4WtHZdGzL0PVPUaGnMwYO6COoCd9PtLvQHQ2U3oZxyuBWTF/81e1v+N4J2DokOGLOv/WSNOQXeh
A7pSHDV+CGdFRMbcyMuY5TxhtLcej+xncPz9vfwKIWiHhk38qxk8dDjr3P31XuJJucC3efIQ7vrm
54y2VoTovkdafdoaUuc/zfM/L0hXSYCDXeYOuPjW2VOkFo9jhemsW2oOiqTgxL/y14Kl9nNn/36A
8q1A2tmxWweRqBu4EjrqDZBJRxwvqYfSfPwZMWj1tYP2q1Gr1ufF64PpnLfxZpFeqjU/VmO9x3Nl
CQ2i3zzOoz/c0a8rnTmnlMJrATUaaoyxb2mxNXQE5jHVfcRPu2+qmbyOPb6MBf1VzhmqKh5B6iEY
dY+h4nAgtRA0CRMkP6obt8PUUdmfdaX2liYLoWU9EOo7Ps7+iOV9tirqycP8yme1r2H294N4+xh/
uCsUzfFo5SIR2r+ZVc7dbnAXMd2nfbFHpu1HItT2uh4/rCIYvdv//nqaRn3O/o+hWd+v69RfyEbo
xTDe/zz2lgTvYeQ0RNYmsn2W/FfQGvZoGeCUYXwBvYy8f4QDNSPCRHWZc9zsWTBJ8v40/KJkX9R9
tx8Yvx/gHl/+F6oFn0UpxULdRSkwxfz86wDndVsyS2+vS78WttAHv6p89WwsG+ZPW/Cfl/Lo7Qft
FXi7PeZtqKtit1pHlGaXr6nIhKSYWLO4XcXL70f1U4rxt4GBFXIpvHA0SSSE4EP6dWCOAy+Dk76/
sJvrpP3J1cuuRhgdzx2b//RbDYeOJBgfeh9GVbxRLUYDGi1Z3XBaI8FJDk3Rgvzcuh7Yg/O+inHH
NJd0n4ITvqfBVSGX9RC7UE6f+66rKIPolODV3akqR+TcB6dxTF8dA6uB2m7VIhtl3oevfF5hKEbU
O2RcslvuiiRFQH0kyTGZBBPJkWpcUmj4GXpTkbc8ip8JCl7ufdkXr2kFGXrAYWF+hLHXUqOYHUL3
nFYuoZvScE8D5on2TOKyobNkeV+7Ix8gxTKjf696WvCQPr7mNi3kKLudtkESSW3RD5XcIuwr6PeO
psU/Okb/A3l0HJtp9DOR+bFUYdZm5nfrgv0Q97sJZInaojDuqQ0aLolWfM8UaDMQZ8kB129PPQWe
X+bloyLtDdW9WYfQa6/o1CN2MKCfLDjr+lqHhfPaq+6YFmMF7AoC48MyRHk6BE18EGODZb+KOoV6
yH0fdmHrz6ekM57uPuk1nLbmE3zDzmiRA6IAvUeJCYnwKWtBm5MjIiTkBOfUdlLmNMYh6fzPSunZ
B9faLLP7TEuxdQjoDzbH7Yc6DPPCpedUL1DUtwSOZTjQwBMu/VQ3K88WIZ672TVyBMjEdCA1kzo4
rN4az7dF2A/9FkFHzxnVdBhYeNEsdfoLzymH+cU4VbGmx9gj4cbqjzvG/lWDvIgRTbLZKbefsaiD
D0/MbVARt/NznWJ4H8mif+RZAN97nrjWw37ovC6N8kc2WPtlQclmQxQxqDKtY7Ax2z5pfG4DCTd6
5IIuBJ8I4k3w0NahKM9VptFqp0kyP+g10/lxzeYYCfykLjNHbej+l+kSJKP56FvjotfV6b2fYaEG
M57sp5hFfekluqGdguemL7lty79o/dgcUfbG1KKlGi4odoGU3FrfYGh6bgq2I4Zfc0sX0JbGg2nK
03WEPef+4p3yJhvfbXk5OCey8uFEgwRVsmJN9TVtxwdXeu2N9URyU039cNI9EDTaF5rJNWN4TMM5
+OC3aQev32bf6MIWH8u0TfDK1vVRx2F3HWxudV7jGha4bunGQB661gePRiTnma+8CqjHXuzSjBfo
HuJvXViUF8Ui6bK1hrk+p7nTPLQe2DxtMpyuj4Rqksd52YIvpahxcKix+jQHbnZysH1c4ydMs6gR
QtGrStOwD6Hu9z734w+Ahxl6pUGF3yRUD/WMbOXHyc3T7NyutTjJvho+9pMH4EAoOPbrMl6r3q40
TavmgO6eYZwGf2WTG65XKBDGr73r5fLUjO1AmZNV6RpNSgffg0HjmxFYga+rEDnC0ZND/mGZVEGd
VDU3uh9kRwvOtPni5D2eKNyPN72R+wqN9c6hJtNMI4BxuXP8YroC/RbXtCxL3WNA9Psm51nRAWML
ZErZ3IrPeLnn750Qy8HN5Pal7/PGRVHQIh/ctp6Vm5ZtiWG+sSOtSmZ8JmZMuiRyZJvdrxKXyEpJ
hT9HleraQ+/eXuOFsme3Hd0bXeJ4Aul90vP61Rnj+N6j9ROGjnE4Ai06dCJZcM8c9dqok0eP0fs2
9ezntV3IyRzo7QTHRYEGojj4WaLpljgq7wvMdBMpt6wvGoCCyHWq4QNNY4oPfboOmE2HIXmkt2f3
l13aCsvbMi6HWNo2j3LuD8Y1AHNj4y275HoJ5veh26d0u9um/EtetVsEyVM91U3WRW07yQ+Y34Kr
1rXBYbROfO1ltfelD8xym4P3T9AOyO0BfQYs3wKpfDImtyYQTRaVsgi/WEFScwzIz/JI53333sym
OBPojaHPxuZfDrJJ36PTQdsxp/bRxQNyMY2LvMjbyXyxKn6cqZMft67aggsapqxR3lXJ95UJuUgH
fxxPpIHrw2BDjdTfo12HLJIhclL6DZiwaC868lAZJX4fPob1EL7Q8Uh9ym3cvCBd377T3S0+Tn7j
IorOFTYD4x67Bc8X+aWIND1Nb4Xti+eN5mwXqpQxyizg5Pt0dTzOsoWI5ORZAB6kC3PpQ8wc2r7O
Lwo92ke0XYr7n9xr6dRYZOjL8Rlcrnsf1qm9lGsZPlSV3W6SPu9Oi0/IpQzGzVh7znBtR29+XyM/
/2SDwPuqiong4HYr/ZHWis0DpvVOqmG8WaxPmzxU+Q24TVBfxKbyjpTHKCyBPcKrTdj4ls5O9sNG
a4nHAOjkc7cFwycO/GT33ft3SN4HNEwmO5dhrG9huOnVOlRheaSFTa1Y77Y+b4lo3hdA8O+TBa/z
AWWIc7bz3qNsGD38G3rbbm3ojTcIlQrQgar5lKgtpEFRgqtN+UVwKeH8DlO7ee+CKVEg81Z8EzFy
d+d21d6WhYe1Wsh1j/RSwaN1W2g1+cPJaWxRDlEZtvEthtrkPShLeS+8tX4qB/uFv0kAejP51Fdk
MPno5/dLmCO/1K3MrsOmdZ9HEY80oEln5w6pz/iYudPUXdAfTnmHMJX+jRc3NjiHTlXjEk6D9giP
623RBN+N1wgjaJRvQzhFlYrr+0bA99+sovOZa+PMg6UxywTRIxcrMad4XfVOLZ744Ndh1tLgEY/s
KQ1b+zFPMnohQvmu6Q0tMpvsKGytESHGdCi+8Ke+3z6uQU0/hYs99XCOYbc0JQ7VqW3osXhdUJNb
Gp76ZC4HTVPG6Q60JO8Pioa7n2Z/o+sJjUTNLXK9WB5nSYp4M1CID086o/qzxBHbDntzLyepkRVd
ToPxr2kN49T5p02tsUvrKwyd4XjtEuycq8CDEbjodkveMZ16PT6EIiloZekmZWgji/usLA7CC5eH
DM+EidzUKz80qxTbxUyhme8mFte5nUMa+BxcC45/55eE0yMCue3YgGxd5+6QHYz0i+tBrEufvytX
YcJNMf21s1RHcJqq2FVaraurd8Pg5cGAuSA3Jd6msW/YDwH05mGUdIQ5eXIs09sihZ2NqhqY97AN
S4flp1ohfvwxLy7rzNPNKYEovCsyYNJjvmTL5d5TLzjSTSD1gcRyK6+KxLbQkbQnWSN3hv2machw
L3S4+Icqj+l95XsFDdlWMLsn2Qr7bQpJTXASr+4FLVkk3lWcNaN7IIVLBf0c+12KNuM5Mx9X4TU+
idkY4Hg8EEkHPtA4IluyrwShLqC1Ct1o6NjWySU8FRV2bCx97tJofSfFZMZHyNwqvsy7wPuSTNPz
tqXJY5K2z0nY6hy741w9zGg7TnEQ2wuHw8MhSBgL/eVvN+XqlvdWZSM9TC19K7t2ayMfmWYbVZWu
HmxdmqO1Zo3GIPOIr9NQfR2SeDv7zW5rSZb4DoYxcA5y6efuuHHYeO/DPlUPPgIie8wmsB7WAwsm
Qg83f5NNW3xou7oPTr3vJ7d9UzcPY9cPyWmkKWp8BWqc+JGoFhqONnl3xLVSnmnrqKlCHUmrkLS5
KWIt7txi8W7cFtKySXrI65Cy6Oi68fSlHv3xYltcui/RCAyPoBNOXX9qpWnu0Q/Ow1Vr6fsa0kRx
OXRFkh88009tFNJOEg0pgsjxCqNNspxWQO6HLbbZtxjeu7vI4ddoNmAdLFprYe855Tn8M1OUxywn
v+AW6PAcFtl5pAXNYazb9CnPEvkM8oaxrJDhReOE1dlv/fy9yB17mOjD/JeD9RyDJYAqhdvZd+P8
czO7NMHRqmk+KyemKZSr4iWK7ZIHhwxw9DpuXQadOCDcGc3wKXbVu5yy5HqaZfa1SJX/XMSJ/KuQ
ar6dYG6Puu2aKwVk/AT4TlMqYtrSRip3ujsTx4q8leC4L0Lvq1fsxfBaV/upvbj9SzMFIjvRAAki
FDC5MVe1rrPmQOe7ZYBr2vbWLf6cS5q+E0ci+mTm+q5se/cFQ/hAB6eSe4hymqQFh4LvPQB/sSbS
tdVXlRld/zikCDktuRZOq6pthn+3VG3poWiVcp45eGcbhSKYp0sxFOY4tLm4zDrtPu66Abr0TcUY
Zato32m95C/jFLQcD1Se52aMUUM1sVa3UHf2pl0RldDDkZTmdunH9qVw8XMeemBGzNtTuXwdhpW9
wqakThtbUMxvE6zVFMHITXTYnNQ1IHWCZCpbaMO8y0a/e0hI43Plp8ONt1K/RYJ0ZDiWcSf0SXR0
qjw426Sfhr4sP/stvZeLXvXH0hGdcz/OvnyAXQtCVEHkcJEZ5rS8mEmqrol+9Uy/vDTNSeVCUk9U
HKK5V+ksxWGMdyXeWjma9pfthMMARcr/Ye9MmiNHziT6V8Z0HrQFgMB20AVA7sktuRTJC4ysqsa+
I7D9+nnZ1ZK6NKNp010H6VJNMhcgEOGf+3MuokAmsJxkPoIgthmllPANcjZppL04xoLbX+Cpsqc2
q2h9rXpV5XdGrU99yKkiylnSII2uTdDpKi6WHenQrJJ3tjJhb+R6m5ofBbZRrQpGzZ2zaMvALJ/F
TZ7Udu0FnLZnCa2NkHWvAocHrrWECfMrFwIjbm65QLRaojI/LS5BSjC/igNYcw8j37RNHyK88tS2
U8CDXmEXyzoOJ24VxiikceDB+yNUKXvYxuzVqoNKFCHIvu3n0dok+J/KamO1zNoeCagxe9k1GKWG
CrCk1ER2n6km53uQGnYpleFkZgZAxLTj7X8HRu0IPsc+q5bQa5LZerWYMiWPP8RarbkOHKBHXKVR
Q4/m5gQw4Tq6xy9wnYNwH67Ot1hGYrZ3+KpX7rcWfHL6ppop0RJCuAhdGifbKJtsHhEsx8OLAp7V
uueBDeV8KzJPLDJQcQ9uabcy3eLb4pGX1dmn6apqLEOrGNRSnUzF2yOTV+Oy6ANML2RPHwliNqm9
sTGqkrkWSrVLjQ8JogK/0wR+vG0aF4oxNr06zHEh3RiYudi6Nx4r5uKlbKJcuUsHp1yWBhV2RElN
AyxVqpjkJq5mmRabZsJxQx6wg1t/Xtn6uZtIK+yIKdgYeY3yddl6cuMsUAZ3zP3Kl8ZVxbOGu2bw
jZrwmS8V984Gt0n5TVQ5uyzc70mXb2obPEsIDLZySOkbLcPH1VbLby57Iv7xeG/hjt2jA6fnWsA7
A3CmbjJ9WYgwmiVmrdFjENxoREa9eXIOLVs4xzfh80t/rqa82nWDwMU4u81UEc4Z82/NKiL4hJ0k
UGnzHFXhYK7LhcT9NLNB0IoNO1BOiFHWWNaus+VQhlHpzp/QKMDS+3o8tfrFhWhshfSaVV87wQAb
ovLI0aBatZHTSJfpyYbtRNfvFYHh8VtMBQKKCztqowrWPIm35LTGSNsS73Yx5xgtmfOIOGu9gU3W
7/W+dt6KsZB6D2fBiGso7EYKExAeXn9burYA0yMsNbxifcA24XcNLrsAT0c7skHSDXxFiFu3MSdv
kJMt+/CbmYHbfAWSOxuC88VRi/saK7uyCFfgrWtKrBvGovrQrSyPkZQ2JDtyC3wxzhxDzMVbt2+b
os0ChWD2uWJY4NqIvAelEVRWydpAVG/m+4UvG+R35HqbDG/Fd6D/bAryrInPGstw/87hckoenKzs
rrsu00j37GDsYwdtN/1kiTSXnTnK7FJPZnSDTTL+Fnc6n7w7rTN2tUihjKxrOvsNwPBnd7bU/dQV
CW+BGBvTYaesWU2vCIk5t7yLjnzoUGRRTwcd0SINJ7wxXyZTkiO08l7uK5ll2BM767GN4no7GJV4
tbte9z0HH2LSFSsO/X5dfCJHyy2ZSiMNDdWPhLqKCoM8JHdvPMTgZ1jmqxU7aBxNMy/XK67WCE7D
QVM5i7FlQsScVZgEC8N4NEeWXo28Q+oPjYO90Ix7UGoxcekbUzXqHAN+gfVmxY2zxQjRPE2zM+A6
HoDT+bgBnHfZJXAoSjbgYFOuO96eJrTKZ08NMMnOIw87St6mScgDPcN5hVxyv5YoAP5qN429yUcM
dqEpynSztjM/A/WyP2AbKZtwNJtfpz6BrB31czAN1vLmsFqMFAdUXRMCvHAvvdUNij9nWS0HghQV
qDTqG7OIjJObFLmDTSgCsQKS2DtpWmJ8gp/Ij7PW9Pd49bIAD5jxQSpGVcwZHG8JUqvPusCZZLqE
aloyOKudO0QblaRuwfrbmcUp043F2g72ZL1ooFDmW5Sr3EQMqMvFL8AEvAFwiBewD3p3W+MwERuH
EDWHAs8g1dBGwrpiCrLkKaeyAfpvzvN5ZH8eJmbXutfPzb6bzAkZ2jTq6NYtSvO1xWVBpYsq3sy+
rF+7AdRQklZojzgqMUqR5Zde0b3F2iRi9lazFmjsPG5AU4PzRnd5r2KlHbqMmzrs0ty5G9RQHwer
JevROfkZXcDZa5FwX1CMU4fLILY/QSmamxmM+WXsFuAyfT0YQTa64MCXSpRYZyokHqfv3X1vAlkO
Vw/8hV+m3ryrLGMsLqRloSwjboUdlzpVDaZFXYTp6Sd4FgnewEl/TaJlfvWigeqfXgmik1a+Kd0i
+hVbsQilJYdnl+3+TpeR/gm1IH8V/AikDQp5MFppr2Ru3JuZIf+uGQfuOld9YFAe7hslFpgWQy10
7oP13ovJ1XM1yHLH8wAmg3J7M3QdzCn89Hlqje5LhtgRujMHlZYaqdWfE71+0dxCPmYJhSvAj/gY
mwYIde3jtMxNk8IL1P9ukzfoQd0nD6i8HENm4KSYXjnRQoK8dLKvpXU3ZEnLKk+1zNWb1LXknzEJ
zKCuW2YNDBzrO7lgpVl2k0FWwwjNWsxDchDqylw+YORehuconSfrq1XJOt9nNSU5MohkJwYtdEcL
lg+LV46bhZkW/ojM01NbhBjv9JVtowuaNOhyuxPzQS0zKiZVR7O1lYBh3Xe7oshmAB+QFzM0f3ic
wgrZ5+FTCLXFjmMMLRKPFXZktvG4qhay0Nw02NglvJkxaervotUgQ4cMpTHqUdQzLXnCxDKNc9xC
TRxdTeRcg+ALdjGUFtE+jLCpOcLQu2B33UsNZGTMQgaxLuc+IkPpnN1mWd2rOuwneHj6RjSm6ttP
la+jvvj8liZdmOtKtmTAchNWhn1ETDID96It13ci7Vh4xS4BwOS0X5QWr4blp5Gb82944R17PmlD
z4H5BO45KuxgFoCpx+2fjOd+Dogw/CNA7ZGVZciJTQ/jw8/DuUpw5sjmxvsqMlIkv0+9DTu3GD91
Zhnj9pzcEeKUKKn6gW3UFQSR/II5Sh8MJlCW5+y3Qdf//7p+ni7zsmDG2cRVPeavuMCvGfw/OiRS
ayGaBMzmW14310FL+cP4UeZewYWo1YzL/mRQ+fNM/voXiXHzaVyzw4x8r6iAP/5FREN3EOQlvpc/
/uL4w1VDY0vHaL53EqkwwY1ipnIlSTOGlT++iv/QHP7PJtl/UBl06ejkLP41z+Hw7SOp/8h/+P0n
/g7F1CnwI5RCBgjvLnVy/4Bi6s4vhmnqFtgwxBwusr8hMelq5HoXzBevniOIC39HYkr9F8/D3CAM
6A8YssS/Vd8HSpPr5g/Tb3wngnvLJtRLokz/XxHoXI/wiTqRfWslUsPfWM3tiY0PdR2wJBfLuUYK
y9ysjtzfdvEIs8DyPsFMfE/q1XqUmOatgHn1E+y/+UvuaOnJMp2ZXRZW0wiEou3S24GnGo4DW/bh
ohVk7lCbp6l9FiBcNR8XQ2GWp9xL+904FllGtCZhMzu1hbtN2c0cyIGbgQN+OygXPQ6rspAhng/G
ZyndfZvMUw954w0dMb0pOhdm05x7BXprscf2yEhz+oae8C7Lwf0m2Vq8FVPt7ESTNu9dmYtAWqV9
QPf/MDkD8H7dZMl8x+iS07pQASiYn7CoutptlWnRzAh43CZ4lroo6Dxa5tj7NEovx63Vc+7zjXTK
7rQkMb6AwzxLZTahThcGTTmJuCw9249BtRVPF/GlIGHwPDMwvpupwtg1hkfhAYLiKLALmGP5IDOt
3XNjG7cdQ4iD4vkYMMpIz+XIzhh9OL1h6voBnNdSfNbNxmrs/NSyDO2KWhs/+9yJDjjGzW1e6cX3
EuzZZs1c/TteUGh1DK/rvWek35UyOip60vnV0l0OXXGasemClxa0ZeG+G4bKN5ZDXmh26y9lWn7B
7pPeEIaF2pdM41vEdnLDwZ+TUJ7ism+cEsAYg5lr3cHIbMdMvfLRWWdp+5FImsP1inxux97ewhBJ
eZ6rAmOJodrUTxxn4NUzdCMWNzLuGU17gcw9T4ptnh5fZK7n9zzx17toonQjWWV7TkwD9lkqZou/
YgLbZwHfEVNisg5rMH2cqKc7wxZZzgSjzBuD4BtVVtHEIYRRYNX3SEquLOA1C5Ocd641v3pMGqlH
mqS+IzoxnanUghdvVf15iNy19md7isnoFFpQNI1F8nJA21lU45z0xktq4neOgIMFtdruPDDjHWVV
8IxtzPlUPqkXc17UhA+BMwaEjnbhAepwRsHggdJLS0OOEyPz69LwTmNZzhkHDppEsFbV3dabQAC1
vCintZsjx5z+Oe6Y//sj4NJfa7VSP+QWHgURuX3uLAgbK0Ys2qYyAI2Q4X2z02Btoo1RAQnOaetk
wvtC4STJq845NVGV3jPaSbZFbInP0daLLcNX+ysi73okrDCC5x4Tezd1msXecJheGUGa91oeOSFN
pdilAdjGQZVPy4kSMDkErhvVR5fIdhOi4CabRRnrvWPBglqvx2jbnvHDz6Zx6I28u9BvZe1cuj1e
LFK7D2laMX7OolxD9orTk9aYC2Nrz6XExOMtgdx0cdADDQ1KZ2r9tRuXDXpjtiMAvmzSyV2fUaRm
kLqtvk0s4TLaxwrcDTK6ISjV3eNEDrFJd08pbLMLU/d9V5nr3aQEcuvM6EVxW6ONGvMhjcpp7xIi
u89Kg7n6pPecGxt3AdVRNDdlPxpPhgFVKxV6C7wmh+o7ddOB+UESHSqEh8c5a0kF1syD5kbclI62
EVU9PcRshc9L1mQBi6e47VG+6B2pkAjK1GRRaL0wNidBgZXOmNyybxvZVgcOnMYBGc/2CRuWwVyB
grh+ycg6wCBJLT9pDi5rnznn8Lh6yfK9FA0Ye81Z9myi5QNEnCsbSkc3J82ZcMCz8h0B+SZMIxZy
YawD4Vk1P1eFkFvaKuMAT5J9I+ZKgw/DQuQRngij3HPf2Hsne3CB8BWAMm46OSxaCKbdfuMhSHOA
52nf9ayFWjElZrDYUv1K+qoGEpfWl7619aBB+yAWKz5gLLB31gv66oCM7dyx17qAwWzyRj0lyfuy
uPR1TWuiZ1eB2XXNySji4R52SL2dKAS6F3rq3fVIVq0/KGrXJKf9XSlr4KzoIiFjhjFU7Ju+gycd
N7jJvzKRGoOcNZPgTz4lJK8s7ZxosqWjyZq+NLOXBlJv1ouNToAEVdtv5GW4N0y7Cdl8U52S5vNN
hd7JghVPPj138j0vxsp3nTa91aOqQp6p9Y8Jj0ZIzeBzhGIbGNNi7C1kYJrYNMYoaarPYSNW98B4
98JW9sDuAc9tRxp/Q7KHL5hiUS900vFhavL4izZbZZCpssc1WiWkB/ql8rU2nl5EbLdHwuDOMXYT
cp9XgWHPuqkF/SDOPeSIy7qqexXjHmkLUZzAM6A6c+09EVsqjxEuAW6JdFd5Ou00a5wcPFe75IvH
pTZh/PFNM4oDSWZmn862ok8C5mSPbSUQbnTO8ibfoRiqQyQyFzakQMppSnnghqJirKw50QyIvJRe
MF13o/IcWx3L9xRNH0kqmh3FZ/ZpHXvnK2nq4pP0onZr9d0DWqr1uLryGS22v83pNjxjHHEOHeXA
O5fp0qa1nPEZtJzCmFV+YFAYDknmxNs2T2vsCwuRi7VwbDKmcY8rnWpGmcbyApK5vl9bAP4uT64R
DOqDjgL2pk3VdPZ4Kie+qUfjF526tH2xjta5bNLsiNC3rc2sDUgm3+W2fJm1SfrCLYsNKa8Is/hY
PIGYaHaKlNpd4w5EM/vG3Io2+u7m5KBJICU7t/caHz5nse/rYj0nUk6nBjj26+hRPudAqsLjUrQh
ru31V6stnpKyYl6bZ85jHvESBj0fAl4fYdbMvBlZVTdkAt+jnk6UspbJHX2B52KiV2fGHkIPqHwu
2rw6tpkpN1Lrxh2IbW+bznn0TgZh3klMn++Efmw/9kAO1KMxHhgiqW1h9++TzrrCNF7fxtMVgxeX
m0IlH5pimtAtjKccN1uPnrf4Th4XiFAnp7YleG36LW9lQXNh4oo6SIRTPGeaXT2yqcpPVevyqLf0
yPHpnnGzu7oe9B0B3ua2iOW2tM1m586iu0EOJCAwW9qOQUq5FYkRnx0SyJvOyNQ+jrIUJPmU2fet
1cwHBt76FpkD4F2G43GS03uvs9bWTmc1uwnp6K5hChvkFvWaNUrH1nKn+UO5kUu9UwuDibGLbZF7
iBHtbNh5oVWv89eKGfa7Tc2LYJv7UcYebXVG/GupynabYVQAAI1h9rD0wmUanWt76khgoELDLjNk
+Ly6aXDTBWYu7c00lqBRNBl/i4aOVCfJch5pdjf4gIzmS55nd+x7g4Fmuu1k2BQ0RQ1PUEwEx5V1
gMkgu83EdQUlS5r4FfqTRaYW0AXp4TpkIhOTvCs76vgUjOEif7CcFRmuRzE+RREj2rYysoPgq36H
ohvv6UWLNk6lEEzjpc+PXa/6IE60PmypTZTMEyPntU1E52115aAPrAK/HA8kf1ri7FafBv3rjB/0
bp1nFoSRyk4zyo1tVK2UNj26c6SyKIxG3GJfU1WOpJXKilDnkzMzJ2KCahHrPDEJ8OqnaRn51IDI
E/ZdfK9ip+zTlqSv1DYTEhqDarrSMj10uhDkdhVqxAYGymCW+XtjN8m3yeMVskewXvkZam9j6L6L
MTb0r0Vz56PbUhBJmPnIZLK9aRv+6xrcEeJhCtBj6bb8Re0m97w2VDHOAfo9mtqPm7n61kVCv6nT
2T3Yhs58fsIVfOso+2lN4Mi3nWV/k0xaI2T5tTlFljdtLEKOl65sTT+zy+6o0Sf7IGikCunMXGju
Tia1lwWdrKwGRKfb2ghryRbGmPrSj+M032MxYYKDLfckql4eO9GxBbDgorrg8ULLXkpkRshuJwFk
6XlOR/mlZ8Q3+33a4JTpdQ3rGRWHAePL7DKRfmFsPSxvJL/v4ow2QGKg+EXmyYvDEUtMRMZuxZnD
9JKK7B51kkEy0SLMLsqP4sa9c3kKZ9fZnzpkvc4euW+q8jiXWfYUuwWFCtdSos7rx9ulWuPH0lr7
rXv9sJmDZDvNGzh9WbRk3mrRiCRKu9q4sVUDqBJb2mMUlWKAGsx/qlbPQlntqssQY2/BetG+dEmn
v+oNnSZVHb9ExBXPEh4G4O9K0MlnNEy94Dgx9RzFySFm9ThSR3Dt00Pov1FzIh+qpP1w1o42o2bF
v+9riQD3PAke++kay2suFpk5L5biSyaa7Bl9PtrBeQP/vTC/2XEUGp7zTk3fRg1zVkNZ06kv44Yk
Xlxtsy7jJpypnvM7G2ne5+jBXgcAgxFGiTV9Yv0S7Pg1msq6el7uW0pmEvDERXrpYo+dWLsyth4z
Su16V9M39K17h4kaq0OyrtnZSsb0UJqecwufiwPsbHMxCe2zcOv1Ga7ZVbfUbd6cubBoCCtfvlAh
BSJUHyELrJmz3mlLvYaFaqIdlJziArWdFryV66pb5eDrdAYfI3JYtKcaWpCmXr2vsgiSA8cy6AbV
dSOrW92ZvFwBZB0hlBUs3nhYXGCz9ymS7Ws9TG55p+dZb24K0KPmTavzFPDHGjBpADOxx7mBJLJ+
05DLp3vd07K9ndQlv5BA/5eByr35aZ2I7EtfY5hqD/dK9FD+Nko5hoNHxOzm6cRHgidvW8cttXdm
r9cq9/+bIq4+kUwKbwHL7yLNaZ9gN80vf5B/7n+IJ/9VqfIeMXvo//qXf24yEu616IT6E4ddGerO
P/O6mnaessLUp1tIEVZIXj0hqIcld6bsGah5FL8bpbkbM+No5taW6NjWSvSN6+DUUeuGgcGGt7oD
ThcyCNr9/y/uZ+WSo81vJSyG0CWsEHCP/6QjljoYKhEZ023TdLdOw14x2qfjnwTI/q8/Am7o2tsi
PeH88wdgZQO6NF6729Qg7Mj/bLzhlVP/R5L8oTv+mSSJ8ky+6F9Lkid+jfqaLz+pkj9+6HdV0kVG
pOyMUwLEGGJuf9ckXe8Xy+G7ow+FrhBLv353v6uSpvfLteBAR5pE/CarRm6QB9mQ/PUvpv0LPS+e
iU+XLBI3uf3vEGb1/xUA4vq0DfqDzCu91DD+KUyFxyTp3DWKjyOE2SRAQnUeJj1et6D9IOrjFz6O
4jNj+n9oWvbIPjMd7zLW47CH4zjuTB4IO8E2SfwJYscyfs5GWowieHPX28iwDamTHfpZh597a7Fy
w7UPDkUe9Z3n5eLOxQDBa+DoRsesqh9TXWrwM4HbDLHp+VozsoubPRV9c6tKf+iJeLTM4RendL6s
jRbfkomeBhxBvf5W4sWyuw0grnW7jrbmhoWVcaYoec72Ghv/QXP319x8KEVeDUkIfkfmM5sDJ++e
k2WM9zVZ/mwKPKtoL/RKF5R5E5EtfY3E+9HtqFgEwpht5s57al3Oe4rzlmverzpeRXy4TLG6FrSA
V3CgRrvI2s8S/9KFnEjN013yjKd6GxSoD7d+1rdjZCTFkdNwkW+RkDAdZhhZHqq2D/MpnmDZRy9z
FGu0F6zdsY0zfaeU2X8FpNnBsLDm0M76E0+QI2yO/smp0plVf152Di58tqXJyPR51OgVWltYe15m
3wIYWs5VnGzxsIH2TZReX7CSvQmT6bOWogtQ6F0krwYPd4b3CgepFtfaw6pyb8bvtED3Tsf5HDvr
o8BAdddhgEAO8yr2RZOtx1s31ySnTbbouIx6MozIF/hzRGpfYHc1FzCfZlBGbnlv4ShCNjA7HRhI
VfTmcxZ3KKW6lt6ta4s3JDK2FFtMT4sQs18lZnWY7cba8eSpto0zJHmgd7YKSDHbEFkcfT+bUbPh
4Y6Bg2HfZkaBPsh1mAK9je0HPvX2hJR2TbgU4hiDljl6RNyPBKuKOIwqUbw2g94/1U6d/dpOOk2r
udKaR+aH661ZGfPZHAUuKMbn9LoPxNDw6pD+H4eggO+6MaDPo9Mmo9yuLTw5v6Eo6CPnsme43s3B
wJXmwzCeLsJhjecZM56sqVcbOli9naRibsMpvGKrimy1Eni/JEPZbZVYDZgccFjCoisdqjUwUyzB
2kr71eKXXCUjzceCojZskPUPI84STkwU/RhY+W7aMpEMmeduLxtJ+SLloPZbbywr4XoILgdjtLMu
xH+yJFiJnWstJ+Ra9kEWo3af7KCDv9drKa8HhbuEV9TH6tt9pD1Zcy8cX2rFcPDmTj9hy4USNvM5
Hka2g1cQPlblGCvbaU5QXk2JnBTIMaOAcEQjXTB/Xdsb5NeSUyWb8GLq2KE01LND8eHjW9v8xrJw
4Zm1h9rjpte7ixCY9ONCRuNuBEWGzDV4E150kVo7J8e+mQ/dMzjL9dMZ1xloWS8Pnp0hLNuIL2Gj
I5uxEk5vYwIc129cG6m5jNdKD/O0yz264KsJlHbfOe8V8R4V0rOKjFxzghxvzbKh2UFfwQagozqc
RHEBlGfIyAPpmoVkRh3bpHt6FhGkJc7Adxaxd5x9aWzc9YWcHmyKHjClVMk442zoizvJjcEQ3sUH
OdWQB7cdB2zYJ91q30LO7KGpspf1VVRQzzBU7SVV5lBv5sIwbyLCkmetHWqKv8xW3KVuVj8R+dCK
UFeppEqFf7e5RjndUwJyHFcLAQBr3P0V1/WMg6R6ci1ElXhRZVg2EwOLpmbxtfo8/5rF9NxAFUor
pFGzs+/7dCm018YE/hJg4vYuhkmV9cYR6HIc6aAYbKUove/dSqck7obpDfmsCMZFHy/6MLZ70hXh
Stc8hw9VJ3vsl5QpDG0iT4k3ZltnGrtHrMGAzSIsdA86Wf0v9VimFwcHgb7vydHds4FqCNZhJwXH
6CT9e71gM/alTpJs1y1ZsYlslX8krdfq6CHzeDOgSXHkRPzFVWa6OaaqZaBvch60PLTGnj+HBjr+
yvruXTwtmbYtLLt3WyN2FsSeWM+StXmbUXBw6IDKbNrJajesDfMB8FL0Ouajzv9x0bHOc5Pj1MDP
T6wGW+iKZojWgxcus1rnrMeWF/s4pBIgrL2OyEjxSnTANKFOAySD3762veaSoBAdxkpl8iZH3dn0
if01MwU9B65sgrydzZdUH8hyNo5zDz2BLgSz/Eqi0uNCtHLzDuvROYtY+undOccYUr/OfX3wHFX6
6LMg4/QSG4dg+tU0MrtdLIZ7stYafgCH+V3FjS4xArvTLaKjCBhmGSFxNsNX+HP81BXaO3jM9qFD
Fj5Jq5VFACOtegPwOH4dzaKnvNpywq6s5911X/JZaFQccZVaIKQWB9+PzJzR3ZDvSzDLjyiEPE67
k+m22MqgrgPSowXDkRu1aODwp7LzzO3SaddY46rEi50NQ7Vp7Tb/lIMT55vFu/ZlxTI2IsRzPEn+
UAwE1dzEmT7w5RdUatAfj7l4FN0bI9KcMFjH14X2JrPxThMyvywC0NUcWbssA8exMWXnUAyD7/+m
Tyeb0xwbr7sor+SBLVb9jgt12A4YdcMaEhliFzTumpslq95NDE/8znT8ZhBi24BCJiXpJF15AxRe
P/csZ9xFPW6teEUfBLsj4GUXeMC4QBwj/4BU+NbDoglBUWJznTKvOWIw1HB9Tq527VGboyRQRTRV
NAzRRMZcb7ilaWx5kLaePs7FKCgM63U0iY4y4q3q+0vsTTysOYXdMCJKQvIWhnFODVu3QsDMBG8w
pJEktErJCRRhP8QI5HwlDtx+4iRqRs60mnd0ZI/Qb5oWA9Ayq73Noq+D9DusTwc3sx3QfGQxzkMp
Vol3sVBMzbTVwWqZZeMZgxCZv4l1JAs64CsWWKaso1KeVkE8OrKUO8VD/4G7FgqQ4BqINl5d2Mcx
63gSSAZb7Z6hGuCZmTZKFBZHsv+CfeU+zjNVXHXrMNeU2WKf3A7PG8jOq/pZ04hw0yVLPgcs7eVt
VrnzS2d47YUogfPeRm6G6h6jG2J51b5KHXqQC4Cz2rV9hxKnxaUw/URfeWS0TqJ2Kca7e4Oq1PLo
NoxNYuUwAa2ETINCxOKAJZmMblWPmo+2jzlqVm1iDiebGsHa/rHJ/o/T5E+OdaR2OGz961MdzLO6
+/j2k9fkx8/8zWoiqFLFkIZBxLSp57h2LU7f++Gvf9E4rP0CC51LEBKtZyBN/P1Yh6MEqI2Jp4Tk
NNyT62HwH8e6a2eIB3wFyJFzPfH9G/2rvwGK/+g1QW92HQz3gNnpKcHW9fPZSZRJI+AnaieWhjZD
M/Y8d1Gv3ejJqjtmonRItDJGZAfB5p9GAOts0pxEPr+kS8FBBa8X2cTHq1E5N28qDdsYwSdMz7HI
8BoXHRYSlaM+RLvcTS2MEhaTCQy6bPyzSO2hd/G3nvGnT+0a8+gu0f3O+lhiNSWJ6Tqan7ga3Uaj
TWbrCC+CUqncnIp0wYMajeLN4DQDZ9weCI89Zu0Ku3/jyniiJjmZVeLdpemwmfBaM0MsXWgKAc1i
LEOFYrlhDrJo0RUuWrdu88Mg9p+75k/uGhPfElfsv75tnr7PH/0flZDff+L3m8Yzf4GpBK1f92xc
dtgu/3DT2L/gZadFwL3eBL813fxNC7kKHjb/RGmFhEXg4av6/aYxrF9cvFkSipLgiveo7vk3bhpM
YsbPFi0dlUYaFPpe9QZsob9JEn/AMeFS1dD/awHTC7PtqEmee8Xy9TfDLangdpNobMTnss4vzuTe
9H0zvtpj1j42NRgv0fVHtRAlbYkT3vxmxV1gxkUcj+jbhWunfSjn+pyza4HZyOUw5VuWEff3lQNo
7UHKNDcQDyqGLAfy5FTpeZIh9jNpO4PRrZavNd6lfGiaG7fpBCM0MeL6n7mTySJKagryjJPkGnNa
9JsJ5PAzsOSBQQSOlUJngD/bTCKMyBs2TiJkv00KlPvjIOOU6GgGUVRc6S/L4m1SLL360akX40XS
udjm/lrrNUhAGc0uUryzWAeVEjeP2BmnTvYULRpljD6p1REkSG3Rvl5FNL/YGZVdq9HPfbsh9yuY
Lbk9nY2PeJyzhqRbIfsd2CtM8XAr+kDZXnKKMkwl2Oo5Um5HwQYAAlW2uKFbZ/syrpu3uUqHkoCB
Oewz0iObSbjW24LD2GeckuzTPn2MCwZBFH9lYD+rep8Z0wuMCnOXDROHMKol9ogmyeqToE++EDKl
zG1B13fc+QbMFuWNSn3p45K2w+JqyJ8TGhdHhsZjbH9l3ZugHU5vUOv6wGg9Gg5MogH5C43S4MY9
PTuSU/+MUypGGcQpJuiqZyqvlTvFR6rh4PItp6EFz0mcrWtUO8A5l3FNXwjx/loX6XBa+xr4bB7f
rklLvFYNb3XZH9ngVPucfg08CSa7WqgG/dLYp6YBuQ4w8J54ee3nRv7SEJ0NVafVRGXH73Za2Tel
vUb3k1fbDCJn2heVAmhOdT34y3wnR6mjzIx3BqRJSK/Y12NQIIGcxuSMbay7cYfJ2GAlEtAzIRZX
82r5+JVRAXpYyqkyxh2T/PTTTdoZ8MSybJrW0i7xNW9UZfH3yIzqO0sbHq0hneHk0rMpGhwxlKik
+yq3bShnAstUveA5riy1HVxLHlgXkm3HnmsLY1UGVqJ5nOOn77WVl/CoCW9FrB1+HgO5DWAAff4P
e2e2HTdybdsvQg0g0D+eRCJ79lRS5AsGRUro+0Cg+fo7oSq7ZNfx9fG7X1yq8hCbTCSwY+215qpN
qw6UTZFbHBNp4CjVb+saWa6v5BzYHCY3tq7ol9PYN3piejbsCiZjkV+1IjouSwWttG8ooJHai01P
KTvJKTslrQ3tsLHSHwAGu7dhcYPMkJssRxTc9Kplowqmi6gC4cuz40g+8QPplq1pLdoPZB7AAYq+
L1adaPnxtsvUMq/5fu0gcn145Lw7uk+FlTf3OFIx9bUkbW8bTzhoGSmhMhbAfWAQbn8GqSIDqRtL
vE9BdJyqIe5KqvSwO2D9rPJlE40Si01rBnqk1D1nLiNQissi9lVhbJB25k/oEboexq41nwaZVgch
x3n09xTIphSIzc6aBuanpZ+jH+UPo23Z77HHJcU0DUPygz2hz2dt9Fv6bfW2GW8RmfvXHos/O2no
gsuOh71+Tiq/BE7tNUHSamKvg7SgeHo8unNGLBC+33s2jYKYd6yFtqmI+TSMC3rTmmGEl2+PHpVu
hLd8ZUb3r25KoKXItHc+Ui+CROCmovAQVU2SlG+tW0Ah+ZZzS3auNGLKvUfoWjTptSRZAhi9sdMb
0c3KoDd0MbcUeRj3bRl9aUkAA2pHdL80mCVOhk8dr2uqixrS5pE8iPZEOb37Lko73ca534L78TsC
k3HCxxiukAgjVqi7uZh14sNzHZJWJcQkpbylGbQGRplWu1rT5323fmpz2i0eykXRfNpSuK7RVkmF
qLovEovaxLk/jAYWC5DIWCFab/Eoy3WqB/S212qo7QOFLf5HJ/oHsDv0shLvIQToya8OJjOcmboW
ClMdMWF44KsMk8IOo5E/otoC0qNJ7TwPdsI2eDC2FVDKsKkn+uNjCpAjji+EpOZbfHz53aLp6mZO
aZqu5sHdptXEiQwmDGkgMYTSEvE+8cnMQY/yAsyB+GKNbk/Je8c9WN74A3etheLuDdRYrkRY/keZ
k8RwyJKtysrjANIHik9N0tEC9sHv5h/aadpD+/aP5EGjoDYmrC2OX36wSFWhrq2WUUPD89Xn7Zbm
bIzPvif6Zz/N/C0yzbxFVPC3vWyPvoZqQj3jj6l1v5AZwr3hj8NO75s0GGd/wfyx9mNWE+6ooZxO
Wt5+qny5KWQ0UHSBuL4g2WAQdKs7wWRygQxch5U+Z7sxlXgD2UYeNNuFXE6n6YYcShp4MUKRRmP6
him42GDn5n7XOoAI0PArzzUI5co3AYX2TKFeROEHek9kIh42c2ZcuAb6fZ9aSTDm+Y/BKfzd1Cxv
MYkXMn0+97JstqMbepcjwXaaWz9B/28cKMcATFV3j+EjChK0wtvRAmWYFIgDjh6/1ob9o/Hb75ZM
i11hMzCoyXopoWoEZd6318LjSy2dhbY5TPIHrBV8B32Wk25CJXM5t9+D3swefFFjKPbEcoFszMvg
5m9DGdG+rPh0cZdSL95c88CQJsY6vIIqnoZNhs96Mzhp8U1U5LNKMdfHwSphpysXfAyVhLs+W8qL
MMQYQvW2AmXO33oyVBsFcXQz+vwMIyaVUPdb79rjkrzPzZ4WgQpvgoOLeQCkMeYNP76SefbKxz6X
N/QRes+ta/N3TZA43QBNAWdzoBV+/DBQ8n1v41p5dTPnyXYcvKdFfLvicQ/m4MVmMCUZHu8+4oVO
0sT6gj6G8mIjy8IcC60lgqnV9i5BukGNM4g10nUpjmNk0Vp82tVU2duZ93kjGqO+U0gdB32Z3APt
0t7bmGONH/TpA9ikvFt0U8tCxCx1yBpp3uGRV3hqwYNwZ22kgsU6Bz56LFLRiqls9PKxJS/zOJKF
1cmtK40RQ9Atb1t98aPvTI94b5/FvKfwhmpSsZ2zbxrD5iNTORLmbe8v1PkKHvNzbD4RUCKajkkR
j0L2tXd8/VsVt6diTNh9ZXWCNz02P7GhgZ1wUvFhxBmnrcWC7cAKaGAzONbYJdI8yYbtZM/Th154
xbaph/6J/G17BAzi3qhEK/Z+5dwvqPsR6re7Bf5XTwfIKBmXs6Pczyh2aQMXvXvnSzt9scms3SBK
20iCYxHaKRUbDSB2MoKgZsKaTdhjh9yWAhzR+9uJbSEcl6imw1o2Q7zFl0A8WSGY3VVeSum0AS07
cke5M2CEhlBW+73sHG2fsTIogSMV6Qt3s/yFR9zwtRgn/YkjbnTQMzc96vbIxBu1zqnFM5BRWAUd
ABfoWFxjkWbzGc/EGsBIupOvCT4QiY40jpDln0TbqSAB5ZNvJqtqto6KaQTQMVfKZZIvurdQX9FA
c/D62j+jxsk7K4b/VJv0afL5qzNQ1i2dIKWNyYnparn6nYQIwvGhH59jgzssTDALkNriN6azwQI1
qzDN+DycYdAC8vUIjn2h3m5xvsa5li5bPFg8WaFz+nwQO9zHc+dMMakCixWCmSevyqUEm2FleCqW
aja2xEO0m6Ka0teotKtdx0YO/PAyFUfc0/o287KYKLuVa96mL8fyRY+m6IHzfnWYMNWfutJ/Gktm
475qh29VWRFTSVyyAXKJz4TnHYZ51cqNLFX5bCQj5k/dFXssLPmFfF27m0tWsJhMiqDRlgK5t2vs
3WhU40NhgVfZ2ksEe1CleagyY7iU1TJsLFgNh4GA9r1oCDw+sn7p6jsMRxPSJUHe1skDgKaCYaFs
MKqzvhoGIShIZtxMvYGsqtuO1lMtYwdLIgNe7bnE1jM/Kf3NmM0KbAxgo8DpIbgVSwMUyMQIvWkm
r5gYnRzzIBPHflk3UcN2GQkrH6hIbYxvxJSira5lUXxJlUKN4RLuslB48bgFGqgQ7DWX5EAC8++i
pNYcht43HqdWchYwWm2/EEoh2zJrJ8LZzRFGbbYdpJlemsxOYWAO7o+yq62P35ECXdpJTPpl89xj
4U1fDQNSWWn5443k80jf8rLY6L6e9732mvjgDCUjuCHZRLQUNl4Xon0h67DFCmHj57te9Mu7zmB9
HoGWEEEqbmu30fc1X/b0E1XQEPr5mkwWEjNE/NPSUMMqSqvZYsAx4QTQURjG8CyB+UMu0GmU2lNI
YwRdl2FShxi1NfkZv/RMkaGcJj9g3ZaFMc86hvN2DifRyXAo3KPWVGoLqE/hUEv9XQdK8t22JutQ
5l2Dk5Q7U1Hjx3bxs+3T2IRZU9vexUxLZ40iJ+O3wtfUvhAWjKrEB8HQ3a3bGTILsBEaIeYD3viW
UQqYG62Z3rQxfGvERASht/EnO2znnPMNFyU4/CxNwhGTHUI4j3FY//lbz0y/qX23PGhpZMI950lS
jU7lIaPJPtB0bQZjSCE9fUolxjlXu/vJXACTcRgozr6ZcuIJdlyZrMBWAkMxJ8l3Aup0B0U0tmyb
FnBZrfHZ7bnxD5gG5oIVGvY60Fq5VDx0xvkhkbp/qyaWHlmVOocczS8UBZwdnSX+iQjFvcfOa4Oe
P1HI2cTvvVtl+OlWBktjtN5trrW0UZR6HhpFZBHR8M3XGEIkqwVY4UGZJuUr2fXXFrbZJlHe3sKz
AGCpUZ/0NfQHL9WXI7zPgtdvYA2ubDJcE0ujYM5N1Ac3drbOUrzjVUnW4lNQSdX0tfE4RMTedl7a
zyorvv4kSRRi0OtwkFVOOsg0QxhVAvy9H52ytLffCZhTBx7rTsDMbOiBVk2s+Lq1wj62pvZSO9nq
Z+zdvaHnbiA6K70U0FXu0R8A9AGCoIZBNbq67SXzdoaddtuu8s/k9c3Rb9sCJ7BaDng39e9jxREt
k5k6lJYEdq+14iGTLopA033IZJInCs3hE3vUMKNrbZNkbo5e44DnElp+ErhoHn4yL+K0/cZ5jVFs
rgj4W0tWHjEE098Vq35+UTKC1anGGxO4yZVR6jnV6KxxO+meE8ccg3ZaGBzr5BiNS9tj1dA62DLD
m2+0N/jH2UJk4kpfAPgbZVm7xoFiOJK6fUkmo9yYa3EDNBIViCGynwF+2xt7yQVJ+ORCOeMrFIb+
MPfJE07gH2R1mf/wW2yquKngtItX9on0IKrK+mST3W31uDO3jVZeJzr2fjQNBJhdDE5bblA9GL7h
bSAWO+WjN0uYADVmFThGXvSmKF0FQqNUh0Axj4+tsfpbCy+KkJ2oZiL8Z80pw39pcMaZbJorTf8R
E6EtN41psyPJVOQCZu0SqfFJKENHz7sTEJXNSNCbDTptVLxVjXuTZ3ZzhxWawdrItXojljw1NiBC
iypU9CH04UCE7lZg+TjyB/6vvPJ+UBz0aGU1Nw8vTU5+o+en2ebhykLoI8qbod3nBPlDIho0QsDx
AFIznegrgAqnG+yOsiooWMNuBrFqgWvIZ/YH8tSGo9bPBFNeath7YTMJ/w4ogZenRsL0w8FV7Vvs
LaeJCz4oAOVCZNNugDgw6xTslzPSJ5jC5e5PjgmYlmnT+npPRgwkHJOpIJDfXrpYPfhZ/6mXKVc8
wILQn6qH1mow+pezC7QPE8qflBN3KbW7UVgvOK76s4y0Zjt2DkUbhVntE72Jw7Rm2z5lHM46e+iP
lYx1lAu4XXpuf/5JQsmiMQ2Sen7LY3Ljgh4q6qC6dJNJ81tkK+Np9EiEONM8duRsAKTYvaueuPeJ
jePYJED1djjh573xaCgJWLdZN0AwNHQWKkjCTqfgg5jSjSWLPohg7kCCoYhjCF2W1y6x1SQ/tTwf
DX+pd3k6N+8YVutX27PMcptry/JBri+aAmPOtfe1du3O1QvtkPHA6zZQ86eDBwn/4uYckVzfy1iH
pvGpI0gQmmCCvjFn8dGKm/I9zQzvDpNMdLPIZPjQUufH76AWH1f/qUWGfiClGQV2Snwz+BPWIuCV
LLcd+U/2ne7fYS2+JHCwLL6z+53Y4uRwZBqRVh2OafBEaYP31WLpc0vjj61+Z7ekkXqeY/sLE8If
+Ja4neWBz8Ec/mS4jL53HXE40dlZiacYZGvA3vrOM/rovSR1FmQ4r8ArrlCXgkO6dh4FQ83lJ9ml
lQrPgeXLafcT79JlqTOcrIr7z8aR2Lb3fyG95JQtbioON4x3I1GvwHXq7to1VntuW89Tm6R2fX0z
UOixn5ssAqGaGa9OPUGiHrHcU2+Is3rrgb5/GXJZ/As2jMvVQ0CoGeWedo70sjR4cLc8sCg+64aY
iWke2csLWUoe8+skxF3m9RdoTD5k8tAQltj8So6JtUIF1GtOT/bQSMQn/P4OAQxSjo3Q/Gsh+vjT
TmA+bKs4iqctmtr8OLNNJnXCB+0PjAxuuwSuM49oRtBfWTKsCCDmM9YvNMqfmtyRW7sZxj2JgPYB
IKB4yairIXFgccNeOtu47+lFAy77J22Ge1l9XyyaevmdOAMaf6B7yfduulmTL3mj6bd6Oc57AVHc
5/Damw+s9l08LP8Li0b2nnoSwkQMncTAp7SuuK1uSturBDMjGYq/ImnMzieQgsIPZ+wvSJquKaEv
yi7OtlPe3y9xbxEqhWMZmshQz+zt41OGvzKoimT+8RNXA5ODQW1xqBRG6ehuEx/0FVyNFFaGsyYQ
NZ66MblUHva4/jnsgHCGIbtvtBG3O9LouYsm96hGXYZN7+SXBkRyz2Rv6Jd6qccv9KPJaeNMkN0T
smQBxSo/OWHaQ5O3za09j96hTAx4IWrBdtXrFlHeHLSQ1o3yxlsBOKi3APyo3XnWme8uXd2OJHOZ
/pEzXVQaLXmckwwy4YrCmdhlBHHTlzegoj40ZRghN6cI771Nu9vKxfEVHw0zE0mYtuaRhmTvviJG
dhxnW50czcXi4ETF1pKcOgYmxgC9uTv1iT/c/MTleI7/DaOCEapo1neZN7/HMwAsQWYcYHSGrGhE
JVpZN1+11AQNTyY1bFacjuZZ3j6hmzZQfzJ16rzCv+N74J5A5m9XfAaE35pZVl9wxRTWHHBUWA5z
NzkLD7J+uPdcAmwMeoRKf0HtzAkPm4ySgRw9S+UXYgHb0WZ98ydzx8i9BSfIcmvnC/9djwggEtsf
KfXaCJVf/V58NWNu1rZWhallLluUkne/6pwNAB0yj2MSb3+ieQhJ1Dth5NZhBKljxdnj4mGSg3QD
hR+LJNme5c6EDbcpsval6dvs3onZXGt067Wt3KvFUm9/p/iYuqHv9IUJ+R9RPqWftQ/j0D4MtSig
y9cej3ZjPQgmhXbnYYCEXCaSI1kAcbGU9mlp7nAD6AxWLPd/OHkr6ocV/lc5ghaADXxRDS6xrmhf
fu5i/7u2/jdra1z0/1+qyP8U79/eS0pBfiGR/PwrfzPwW795iCQGBigDmj++jb+vrT3vN5glAr8G
exg0o5Ue8re1tQ1YxEX+ZWtpOXQA/Lm2NvXfhOCKRp1kZMEDa/wna+t/dvDzVdZaG0PAKRH6XwA5
mUH4qTct7eBrWNI2KFHLYfCt/vmXTf7/ErX5p6AJRCIHR4kJ7BImjif+2Y2/GD2Lk0VpB3pwjGcK
WSGjDbp3V45KK/8NgYcX9FdSyvq9fOwcLODJUNEHwdv3K4GH94LtkjKjw2zU/p2O/fUGt415Yhk+
3TcOJ81/8w2JCv3lW7prAMImreMZFL2vdKRfNv88jOzWcDsSOnOHmS5qa3mBcx9DEYfcbXPjHv2r
7uFh2GFjVwBkiyKb9w5oWqxedjwEtlLEI9Ci4XxlaXfwCQewV/E71FSivRCxe38PQs/fj0uX7ktn
FljKpuoEO618KPICkojWyS8Gq8KTr7pmp0XQz6NZprfcvGwq+uIq2c8tZLM07ukXln35IKiX+05v
xHJNcqu7uk18ow9zSsi+YHENk/ywCDO/sSywKkGSmcOD6Ifyx2Iu9d1ijtkXoXM4JadU7Ow2qUAS
lCoY6mo86HVUb9ulFQABEJG7dh5DI5mwG0qzP7uGrG+7xqNxD8rYO3Z4MtrOSj2Gd3FoZ/BaG2vy
I5b9mqg/eq8sybSXEwT9JRkI2I08PzvPYh8jeITkmj/m2ynp3B7D30yYoX/1bWHP/SWpGly+lQu7
Yoy4zgMdE0GDtbysvg2d27xmlLe+ZH4uHn1AWhyB9d7/zDips+X3O5c2BFYOKNVZOu06xe6Vs7iZ
fMuTYs1hVlZxpxcQcgNKR+qLS+MxC7JqvHrzQtd8lHZb2MlcexnDysaC5HtHf+BjMqU68k42PyaU
84W9oXevNG+rXT3pkuWaA65j4vzwCU4m2SdV8jGvboeY7Oc59r2BZ8RiJ2XY8+IkVVTctEW5vOBY
0R7MKl0u+kLL3qZHMj46ldI1nOYZm2gNn4mFcoOkDnFfjVUfmnOaX/QsHj7j3pHfcmO1My8xql6o
yZTAAq/pNomcj1YWwWiM3S10CZ5ibvGpmxODRG6dI40BKM/jL34Ppq6NmmKvMf1usCtMQT9xPqmF
pQcIhw7Hd3nOtM4CTitj2qZ0L3u3PWwgcC7eTCgLmD8c9DnkscdoLMTFSfp7e0IF3OBZs7i0+fRM
4PduCGKDFDLU9wkwx87uNHlDV/vyTU5Q23ln7W8NdQ938Apps1qkfGzZyAfUpzziI0/DwV6+akNn
3oolESHxhP6WyWgJR98Zn6rKH7Av+ArdmIQMerSL+UAcUpDXytpIMOTzB9sMDrmRGqC34f9GJNrM
XkOSYUFl2uZxmdOEKQAYICO0znLxxmKejoWvM00FCTR4fRNp8NqueT/SdrrOyP3IrIqzdjvMqs+e
LTpJY44p9C16anx28ZCHvsHeCIPuin/Ao0Z03m5xPfiSyNIeWclxv06cJ70dVWgCILTHxLlNC232
WJT16ZplKCVVoPm4xI8qt9ee6CZV8a3TstGDY9NV430MUNozN8hMfXL2I01Bl6AF1H4VDTUDyFHV
yoYZu8kX12wYNXvXTjCwPomD80Yl2Cq0U04Aeeie8pJKJPiGfp+/anaTP/m46/edXnEbrkvXPihd
FlcX/89avijY242DY57sSdU6kosaQQxoib+3pWmeaBpqL8Y02QdRaoyRVIejdXFAMZ5FgghE/n/9
z2CyoqcZbM+HI5BcOTJWzQ60PMNwQTHPZrCgEudDYR2bXq9OMAf9ULLUrzjJ4YJiBzvWZ/JqKB6u
co2d4fQ1WZgUHDL4KszZOjIuhTEYdKPIf5s6/tSSXHhCAIxYq1TaAONTjeXDZFrNd4vE34UfJI13
OT2XYLP9ctlSZVskYTeP9ZEyEf8OyJTzXpQQRTcmhO9d1LvlA8cBjjM5NblVoNFFjOVLk+UPSh6K
q8lS/L7IM4c+96Wsn+IySRsU2HrAiFPnDmIhU/5/p8BKpnL+d1MgJnse6v/avHjGz/+P7sXVl89f
+Zt70frNxhrokkikqs8XBnnFv1t+cQPjHNSpUfMMaJIMLH+Mgasz91eLL/5GtGjTWQfJ/2jsY/z8
x5GF6kCfFRgwOQeRVjj/3IPXRtIrsnhyzuV6lg/YlRusjgykDaTlXmskT1Kx0PNBNZkJqbVmiwfN
2KaxiT2hhKL3VID/0cpTj6TT4UNZJk6+By8aDHD9piId77YstW5pC2U43JWdKq3xVup5miCjCkC0
gdVrsC52oNxL56Kstv+gQPhBWqkbBQbIcaKWjrsrwBHNu76N0UmW+UnzlsUAls3VHrTQbvR2s3LC
lr2ACa1fKlqbbAwIpFmgTPZpfyhIT7b3xD5zOnEj/7UvFhNoUN8O68JIZc3ZqbokCuvZ/6qZjlXz
LWZnCSe/EIxjrguF34TgH65Wqru8rZzX1nVHAuP1+AauIbtfbOnu6mFmIgBvgK1LCXaitZmwzpRE
XPY5dePHDG7RG3vw9qvood9ukOL8j9r3PoppvvXY37HVyMv5yP9EN4q74B3WaP2AT9sIZWb6wbTK
QNQ7+ZwXs4qGAZ21HzJRrNKN1cBKoI+iJnqJQYjbqAHdm71SeU+Lbn+dkjI6Yl8a98vizg8chOeT
xukTS0JK/yLuTy09JEWWfnI92A9ZzoM2VAS77kDXePvVvHDo68m4jETCnpPFTfeYEuv7erHcgMVQ
UqNtSXFj2QhNWl2wTHJaihRqKx4gwBc1yC8XHYVuqHMBVUFt08EaQkNUQ0gVBCQSmH07czSXQ2Fl
LJFmTOBvLMWbHct3bQ9+YTlaiVg+yDa5RyK4zRO+mOiWqqT6Umt4xPd45UD0DYuDKLKblCUF2uTf
/im596rkRrNXwkSQ/m5ib/+wtDekJKtTGfVjUW/d313votMewTd4AIFpo+nHJQTNa+gf/72j/l/u
qCbRBw6j//qOek27OK3SfzhZ//GX/rinuvZvgqCE6eC7Xk3fK/7zj3uqZ/6GSdxaOaw20SLf/OVo
7f+GRoNFm1P6X9PxfDXYmq5D9EFwV/xPjtbu+v3/4STq8e1R9fmS/BS67q2H71+OhczxYNfm2Dh4
lM0VI+wML4Bob7ONnluaoeBPV9HbXHk2uT0vTr7obE4DSzdrQG7xcAu4LIUmhtMP8qcRhZ1re/fJ
HFOF51TFM7fkChcYnWLczZ9B3k80Eg7tu46+2EGm5gX+0ndadRXS4eRL02GBKUrrPu2oqs84c/yL
NU/2O3fQYkFSZvdpNiiDGzyz/lU6tfY9n9zpS27W5fQdTIHvZqe05yaOzh52ZY9jbcrOOtFub++o
qHoeKUaQGXVVg3U7SGEYW8Yy7Vmz7EZulgR8GwElwmYtxpS+ZBjduoT5bo1uwpSTJ94bB1lPnHup
PF4WYsEHYxrjS9YYLF9zh4AIT8eaAp5xtHdgTjCt94TxmI7OMa2CG9tboD11Vv61y3qmNSOythpg
haDAJnclZTw/chw34qPVD+m+bsrmHp+o7u7JtVlHfVLaK88ifM/9NH2hwDFZD04F/KRFte616VOi
164zaX64dAtmGho79HYX+XGRBi7oFXFHo8fS7jTKbp+7tUhoaDCzbpxibF6tmDFwlS6eKZtbX+Xc
4LVIaoZXP7dZQc9iNJ7jlGwtqPXVqyPN9azVgdW67UH+rTarHlO62VTsJT3WXcjoCQY3KOdtle9G
PJBnAwOrGfz8Y2FkvK8Rq1pn0w6QrgNGVv4O2JfcvTQAWl4FZVxEXyQ74YxYcEoKxvEuUlmID0US
L8Y2nmz/isuSgE0lI/9qDJpcz95AHLg0EXPgMPBrlINK96ML0hKWo28ezUTa7w20OEowpYf23039
cvYZIvg9S6M+i9jIlyCzFn4hABh8nbazsrPMlyI58fzlBxiNFk+RG2e8uqWKmtdiLCmWiCMekJyA
OjMjZ+7CmEUudsQtnTeQonoZ6fFRNipFosX69AlfGwZOvvDv1rR+2aRuu2IPv1a2Qa3BPlVgT3C7
U0FA/xO80PWX9xaZLdRm5LyC3bhqMUvrmkfLgYk3TQlvy9LL5hXJVwssreGXiAah33upci4/vyPV
WPm0U5pjHmmA49ps1UrkycY4uo74KrzAtGyyDdYo1LLvOsN652nee4FFI9zZ0bvmtYVRpTZ4fLsD
oFfbeogz0G652Sb1MTXTrl9zx6YZtCLl68dmwa81lzS9Mfc7L8j7s3b9+VMSRB3iQzGTqw4Qt/hh
wfFwlZHLMm79rsCAWuQ96afeGdcgVana5UmOCO07om68pQJbMK8J1cX9rZz9+uxzIjrPXc2/+/QH
ZhtWEzicNGro93mtcUH4nGT27lhwh3KZMg5WqRvzLqXk4gdmIa7IzNHWa8pYzW6xrXnlvsYMWaMN
ldMQJA2ZycnN5biVvljQDZ3xUR+96V5lc/NqcqXh++Go43Gd0rm78S2/uUhvCNgLelBHhUZbB3tX
PxzKCkvm3PXuraO70TnzZ//Km4kBykSbfcyobaHWs+ubV5Z5PfuMTExPiqt4n2Eg2y2mIYjKxPbD
kMr+I9NMA9Gfh8618IvpyXOwM0Ih5sIWxFH5ZXgBLo5uafx2WHhNoi/QaANJjwbCn0/pc8BLhgFk
PTJj1vbdj7bJqIM2KIGhvTLCpbMRfW4d4zizjgg6vL7zlETXznW5g1BaqfiG5XjHiAcNUMUiRqwx
R+AJEVu5sqNx15zIqtSFlzDo8sR4qFgqPBaqxq2l8gI6gZsnAorI4u5oNZi/W25pnqJOpgcqEIzP
AuDc1YuHyd0xr2eXlm39dxNe0vNg2/OxKZmGUYrwWKfalw5B55qgI2+rNmdlX/heuqeybsVFagXn
dSIREMqqne6Vc1jF+vI9neOcTwBj1dmzofnhR3aJeZRLZL7OMKfOFO651CIK1zgOS5fflMh5W3uk
j4VOAea6II0Wl9Rge9s5XfkdBHdihYvXqQJoXjuf2Ml5twAUHwmdk5/XEYA7ztGKHHTB8qh9WCwz
OSqdzIJyJgguOLuIKTU344ApP9eG6L5SHXeT2SVgojXDI2s/VkfQbQLp94QncOWblyZnMfMlotzg
Ss9U9wTj5T6xVfsI+zPejHFvPEaG4T5V4EPIFk7Su2thBh1SSvvYMyb611iMpNkj73mJhfMy9GvV
3WTX3Z6+TBqgeN+K5oDFcv3gjwcI+yXCrLjv6ffdONgO7RAXFoWANXojI7PUKS+l6WYiLBcW1ORQ
nsPpDEeVTJqwGHXMluTfx7eomUqqD63BznZ6iYedHuyiGALNsGjpMds6gN0onwWprtdU4ADhUWjq
d0NmsRHWteaoHJOrejSzt4nH+xnO4HArhf42Elu5aWAdsyIfpwYWYBXJS+9AyVIcjJ9mX7PO85QZ
DzQCyx/Kmrq32Y/r9n2SSKkPqYOEfpbdkh/pQsTb0HZfkeeihyQxyBqtnF5GQfZcEnRbAb9fuU53
GnpTu+s6iZgqTHzVMHu+0708XdolZWdMD8AD3VXq1UudaItS4tz7jW9zWBhjNqxVUrYbEOzNrcsp
8UaPyHxtE3wED1YOXMO1BorDysKFtuBMJ3av1Vs60E1h1w1k2EY/5Xp3lTwSQ1xSwDgy/dUQ8TEb
s/6iUdP1dRxZOvKZmztMJ71ByVOSnHvIAXcmVdo3g9sdvAFTQe4K2oF1g2SVWzeTdRkTUu7KXU/o
iQV8JG4Elbe0ZN06FpeKniaXcvTqgyiMlygjcRgXDqUworZwCcrVCsMO1WgwJPaiscJkcsBamz7W
7NhqKWRmW23sfMuEeINz1XzwYsu59/AHP9WdhYO1q0CZ9pRyB/ky7TRXqhv6Q22s/vEXR2+pOulY
mxom4HTKdeydL8vyiVwRKN2M8WMnKiPdTqLIKA1cQ2OstW3cqiz/78upg3eOvf5Z5xR+nuHqvEA2
5QblxPUNdyAFqZbz+5by1AdT6mrfVDR8baWgC9osl/YxsUssFTBNxpClA+JYMtbGaYCdAYqa8HsX
OUdPZt6lzuP5i95DBYQzMFyTIfmKZRv3DBh1BopJxV8UEQfM0hOO+bY3TzB+p8Ok44K3IMDsnMHh
fZCQAWnBLCGIYvwdgI9QAGLzSShpC24mu6VAcODpWCSER/CYF/uGKMUVm6e2Uc3UPUVZ7e76qY2y
kMcheGoU2W1b4ITHoLbRgdo8orVjL+gyIDoLyclzbc2I5Xoyr+W0FoYFISZzx9+ZblxShR6AB1t9
Zu3g/IAnOYaQxO3lkPiy+EC5aA8+AIOwWEerpuzRBtQMdxsHSP3/2DvT7ax1LV3fSt2A13Ar2T/P
16clgSQQ/niEsHBvy53cXP15RFh1INQJtf7vMapqF5sQ27IsTc053+fdllUu9nQBKlo6NeqTMRyv
JuUAOVzKYbvoliQ2WIiLIocCu/ah8u7Z34qrAV8cQEpVNFc3+ZB5274ImveIYBLxnmZYb90GFrBH
DfhnE9aTT1HBtZMDfVU00WmbWLAQTvEuYZMFtjtf0lnW75EQQnzK+5CKPWHAlQusnZV38ZJPtDjS
7r16IKOwPnlMDERqjSeE5EgvwQSPy2XQB8F1CxYSY8O2tXbonPBLasrhYnba5Rh+R1UFQ3+XThXt
O+2FCtd510ZuC6+r6UkTS/uoh7Y7d3QQH7skfCBQmw6y73Zadv5trg0vK9BFgePyXCUl7RLr5Bwy
vK1JtXxnbTVlTfNNBe71PQAq9WUuKrhcLHlwXeFrllin0VcIZHi9LBBWokpCW3BjRQs8x5SiHu3J
WTB+oQPgTmFLV8hNR4okdo+VxeJ2Fs/iCMtBvm+c8qMC6Zle1CVg10uvtp+GKVJXQO8LOCnMhbMC
xgvvOV+KPR1nKQ06rh/YH7OK/6+bNh2dyDcNTQuHIAOvbpVYAUwf1xTlo+91YSJvEle1N+x+Z0PF
DjqdfjrJ/w/l4FfJR1iDXkDzgkP2kco46b9fD8YgQZCxJsS1suv8MzzDoksMdd27FXudr1Hn/BGm
+FuBFtwCRhPUzaXtEyoY6fZPJ3GwIgu19B4OJlAXDAIJ3eG10OtLNj0FXD4+p0DT/etEh6N31nWC
fv9t71hpdYW6o2Tl48Pei7b2u3ckMp3ryhIrBuXkeR90OkR7XTQEgP5ax4RtlaAzMrG9iAO9P6wf
XGHhF9nORXfKxpEwkyb7pybQ0/ChdyJEyuvgOBCEMfL0/M8r54mCRpuZA1uCJwSxfsJZpGDFuKuk
px6pI/VfmTL1t3DV9QcvohsIppFpoxaurR7typ9hpnE2sszaaXPAcqz4drX6sT9Q7e36Y5g03Wnh
B7t3foOb67FLHYF5kxM2j9/PwpVonT/AJk224yeqxAtg0idTQwbcJjnz6qUXRMix6LGzCxZzXg4y
FN6b0YFbcvb27DK/6LcLRQCqyaaHnvt6doUdJzgY6c2JPnZesaJ6vAdjxfvh28NxPYOwztlw5hCy
sss+/tur07MB2oNsvkmyGy7jz1NNWXjZw2lGJ5Ur905MU7jL2mwhfiw7g/zjqmKgUL21popj29sX
d0ynwa/PDsrTtUGHOLQk/PbsoJWtuImxCyE/ym/XUzL6V7Jo3bs67zk2Q4Xk4bW/NBcDykCq2V09
GllNIssT7e3O3fcb+k/b0B8KRqxtb5I/d1k/dNnz8F/Nt/9CHThWX37NdL78+38SneIvzE+x/vFN
iwiMC5a3H4lOKf/i/EBlycbRNTJYmP8uHnkhDkSURsB90lrkS7KZ/11MCv8KmZxAAUIR0H777xKd
jlk9f510wGpZYFlfTf7UPPnPU36BNuWky2yfADFsq+Qb7Rzv5iU+y4Ho1lN9okn8nMroPorHT7TK
b3L8et+e99Hv37zNpYHp0BgFeeM76venBb6hWUqFYWKfmm6xr2P/00I6oNfFvq6odbt0fAA8ow6R
0C1Xwu9VCegaLKL3k/voa3e7AnBWFu0vmMpmTXgYiMmUdK6hEscbaho05eU7SwObttWzP6OURmEy
1rCni8+0d9NHCenN92nxWO77tQHURP+FtV+C6OQ38ObICojL1tb1slntoRnp/iSlt7OLEel9/bCE
xaZjTpzozd9U4LNobrpIRshZWb7e+qT9kPuEbO6WARSGG48umn1fXJJkuCX/MZJITjY0EQ+3Inp0
PGvfJ/Jp7bmDKic3IiCgCZRfbUQkmRIslzsNXqobi/ezFd/ldHjvi77a60F9HiPXPgLQukHhgh9k
/WWlPWnICyxxpvKIxAbU+UBTgoc9azX79hHTcs5b9vRc+8kuEWN/SUCOqstGbikQQTTrIQMPlxjn
5v8sLv+b2gkxwZvF6P/TFb+Xo7//m3+aEqO/aIwTNmBpH35v9FNTYuT/JRwRURnxX0onbOP/NCUK
CDyCnAtbuYtRmmQZ+qc67cGmIsAyiw1Ni4bA8y9YOkH4akVxHH6b7XHidsByc6cmlvjpczasdZ+T
Lv4jZQhtPLD0dVcP+rjG6XyOsUNwok0mX7bNNC1fg6YnFVT4OHqHxFHvcZtBBIADyVMJePWqAHF1
TWCG91mOg/xGKFHvaB2X1ymK+fcLqs87qL0lUiADZk+E87lRcUj2hHIHpXNk5X37hX6c/DRbJpWd
5dOMKfGoqEWqguQyuHxkMQiIP1BvLs6jukSjLL3yCD534+HpegX0LttGZYzXZF6lnDL66azOKnLv
BJLezrUSeQ7dFaZcXM7vEBxydCzD6HLpEw0aVczu7WyN0TVGUfaVs2T21eItFoqfxmsPJMnKo9O4
yScnyqJrxypuHPRDV7Hr3FEibXaOiGHqt3i40zqnvG9gFWAfVgvtdY6u3W1XdcNNtDg+nUbkIUlM
A0Tsymw8BnzFX6eJi3gdiEnUnOWRKkNx3/q5oK2fUu2Rk3J+ivph2EFVrfCVWpzt4LjjxybMYqxY
Uyr6TbY+I8daPtXd6N2S+1tO3pJ3aIXz+TYQDI6NSOTQxsF4geU3JGNvnHe4sMuD0qU+SqfgMZJ5
3mDEUZ50jba1LfzxqxV5GxQry9aL1IVbU9mJrXk/ZqgpC3iYux7iQVUoA3S3znDNLXaYltIqp7v2
2LY6+JZgXkyObMguBuFPR2FHlMmrtLpxVrm6B6j2xTkc4hiV/JqPF8pf8ocErsWjbEW1R7Oizqmw
TB8UqLK7KPazq9UW9hVdV5ih01+WfYwHv7/MR7v84De+wtkIJwJM8xr7FMwlqc+i9LxbTj7ZVZL4
62GRGOhsaKCT7yHbOFhODy0hZA9QREyZfQPIQZ43ySDibb765fM4z+o6FqI8LfPoXYiB9rtKiQzL
I5l9arGVuUZlF9ziOkvKmW362ra0d+FOASHq2CTvBr/p7/LV9BdUfXlWWeOZQoUDG6MOwmu3Ve4j
pkLiqk384ixzSEeiI0FrCvwBdxM/Dd6Varpw04lEFaWVk4VSYkyT4SkdQ8AVy1xggaBi+dR66LFa
4PrJovQGVnVw1sBUPMhQodCUtfvg+cXzMnkUQa3Edx9lWN812lsf+l4tGDLV9m2TClLYJMOt88Dq
0Z9S+rWvoVYEznayRPvUx11+A5yzxRqVYOEZK9T0WGv+UbJm5T0y0gpEhNXtbapIF3nCS5w8LzsT
Y4kyyC+xv/P64QsRvu42Q+HcDU19RpJWnDfY9NZoELf02EHYycq8uEVlXL4P4vIkkASdi3itz3DI
JWOmsDEYWSwfMViDChVUeJhkXrsDlzdvMG/M39N65v+9ziRaPU7oBCCYuuV4CH2StjXfS6KRW+WS
puGF4inVpQUqUjzAb6xuPkylQPJEO2q+jaJDMOTVkdYF+wrvXaA35a2GgffJihG0FMJzbnM78U41
rUX9lgywvq5t3T17A/bjNILuJnuWSK/x7gXvM1p7OKjhpwG3MbVR9goIeJIGXUI26h1QqeIIxXal
NXkJ5LbT5BPp0Z2oemDgNtaEHJQ7xjFEvKPvk3Whp7wsIiytu6RlmetJN0Sqsy8S1aorytf23nGs
TzlmcqFRVHh7iAf09YmWftGuFtvSyj7SdGmflTZe042d0+yTF82XUqQrHIg0ug1wbD/r+4CYbE2s
4TYzjF0p0TzjH/4kcjkfc5u6ud0b8JGqPPtah429xcQKtz83LMWeBqfoAX6ofb36afqRxuLsEsDO
52gdxIkdcd0CLELOm/j4a+FUdNnn8EkQz0eX1eh3NwPY26vcntoHK87Ka85Zat/gywM4sUFb6ZJ5
D/rW+1hMlXsCWeDt4R80h3TO3b/RLJF2CyL15COiZXMZV/9TigPkPfVzqhk0mUYHL48SzFRSWDdL
AoXEidMbxyHhOcFbBCnWzuDRGfo6Ddbdsgxq389ueEF/QoBUqmzSdx7WiEw0WC+k38nAKpuyHviO
8UhubDgrolXdl2N8zIhz98USQ0nRWE0premWRmO74kxv1f4mSOaDoAB17VB2OsdRpfgM7a7YTRxF
N5rD/FXGJ37RQxQ5oXiYqaW0XfRYCJHtqnqyP5UxbfKsTAiNB3e3uCK4Wcfcela+RLQ2hNahSmT/
zsnq8izwrfhAY3V/W6Kiuk8mHAsdu7U/4KBiczkZI9FdLBhXqeyuu6X9UlN3eLbXkeV/7IaVQvrs
J8fZmxwSiHS0ur11Aa7L1cOm7jKQ6WhEgwpWQT3aGStaZt+Gng3WP8/zhFoXgQiU/LYENeMRXLdJ
W54aSvZA6JWEz7L2HTacMg7bb1GnijNdQl7y58mCcEuFjILyjdZ1cRqC8THoAuJ6YBQp4Ixp/FIM
4pGs15Mdj99kuT6GzfwecSPVfJjkXK+tzjocXvddm1EcT9S5SqW806pwH4p8qp9RJMwfu5h/qGth
MdWzZeiKc5XwFOO5avtWY9Ap5nYVV4RaeJ6berYd7DO3Gfy9aKgdzC7E5HFCsX7TDu0i4LfE38YM
ZvWpxNoneqTL1UVLgHZjGzf2ccQ4cz3CB22uMtVazaNiASX2ivTOmeOCbOySgKa1im7XT7m7I8gr
sAxY6nP0f/IRT4b2MzXYJL+J57S8IHftdHdjuqbxscQJgC7XmUYrStPJEORfQXX21n3QxmASsD2M
a+QUWdGctQaDVX8HYkVNfdCi/0hTNGnNOSl39sKbHBL/42y500lkSsJJG8ZrfnI+RKUknKTDIOv8
S046yAhsC+JLkbDLWBKBCrHIfb2Cxk9JCp+zg1gfUitLLmk0gM5TO8u1pnf7uuNtnq8DAoY0m578
IlrOuwjiSc+J7OjUM3yh0YRb3uqO4LHBTGfZWREfColJqobhfApLEMtFS6m0JzVJ7c4H6kV5A9fF
5GyljwZcTBxDPnGz88FOLjH3LLe2dBTlfaSdSyLbz6MnSup0wYLXhs7gCFDuthJO2l1WNpAkfAVG
JC3YyGI0eQGv+TTaykV14VZH4Iv2NxD5hNEYB4AwRKPnOV8hqorwY2+PteyfRx//s+A+bn0ijm3W
lhl57P8c4v5XhzjbdPf+//vfEJb1xS/db873f/HjCOe4Ec4wGJhA/fdsUuhkRF5yQuip/4IoBgSY
PDfsHkGr8Y8TnHT+8kiJ2jTGhYEXOCY5+eMEF/BXgQ3r16PpwTfnu39zgvN+zUOa26H7mS47QVTh
26EBJv98gAulXqpqJMLBmkvl35CnxB6hxkRbxrAbhtxdHvKSXqdDv3hlte37JQie57hU9SWc0KZ1
D8ry6cbhA7GQ39RRbMesm2WRzvedjeMuGg9fiRUXhxhts0VMp1sfe49yXIDzZfnYu+8cKZUEe2Ij
5r1Ph5EkfIneBy2wv0SZS4FkJDI4ej3wDAQ39NhgEQ+4yWKfqXVuWG9UKmOE7D+9yJuXzNgvxlMm
Ifb/EmagrUzyDe4D/xugynk9OpB9nGbo1+Bv1U86gkCMxweGX8hiUFtFEPu55MwWWH1rRZctd74k
lddRAkay1G1qZ0rm+7dvyf3tliRdVoH06ZakA5J4/tcXZnpeqqbvkq/s4UFxBakyKc5Xf8SM5Jhi
LDoVG7DPqcN5JVXhuCnyWVGiwl+tKZ4aIFkt5VMO6vk5PWsE5ntsgVagReXMq9gPwAgRmXXCnM7E
WrTiel0LOIV7iNF0RG/QXI/A8N5+KJMl+GmYyYmaOUiSk/YOIMCRyTL8lEWI02LOrKKs/7Zx0oTU
RiNH874q42a9eftCfFGvLgR5nrZ+dIQhgxeawf3pQmBC2mgVc/yVrIkLaVqVceHjdGzzhc+EXv47
nAZxGAD4FZQWUaiTSP0e8U6df3v7Tn4tdBEjcSOhi5yY+pokjfMqceLQ+2BHcy6+avCVmMVDBhyg
FGCuLb3zhC4MmHdvX/G3QSbvavynaJWyJaPw6tktJ7FkU0rvuRzbrkEWvihLQzTEF2qZ/nAtMwl/
faEsXL4ToVh1qR/KVy8UXkXJThW4X2cngXT4t4tSMCWSVCPzjhYSM8SY1Y3U6v7tQzKHhPkflypi
+Lqk5HVl30V50T/PdgR4EtxQGer3sWtljO7bl3olJjWvkEQvJRxBOp3F2341oHnTOMWk3eprD5qs
kifARPV96Q6sUfgOQIZQ7+Zoje3qssk4Itn7QKfF+pD3Uilvw8kBdNrGpr8husV6RxJlpCR5ystC
Jx15l3Hy/ao7vX3Tv72YAJpr5MONp7Ha+c7H//kDcKICEi6+6c81MSh30eFkkn/TzmIFn5qmEqj9
Y9jDQ/ynwfp99kW8FQ4XoPF9GopfLVsxQP1ZdYH1ZQ0sx1239INnY78lpZB29tbxgGqUIF38Qj4t
aUlrJdiCrosUebfZ1XdZtU4I6NNwXocvRHfA7r1auMtFUC1+H+7+MErh68+TG0QCZD4TwKIhPei/
LhRQ7lVXjV3zJQ0zl0+R1Pmw3vQwephUuDwkiz5G9PiKa8uLM76mvvZ9NoNaoPRA/Id37/LMBKzy
b5RSGRm2P78A6KAdHxOplwXYx0xLvyfaS4jnkygChK8rWikxWQUZxtup6ZNiG649ByzUBmGIWaIt
enK4oLvMZXgbp2qYH9fFhBAb0FBQMXdunnss8vaaiTY/uH4L2mLTphM2YNDE8upvMY0OBCQP1NR6
w+cfBZ/qDKDwQweygnvkaBnRAsFZy/lU9I3K6/1If9L6gJxI6jtSckK/73P+m2mT1vQhrps0hd7S
0EU+T1y6grdQLNvcUxYfOhLXhochJ5CnyWFJa1EHG3Pq4CdxI4n5kUzIvhLHQM/pcDvAw2EzW1ow
Q8O2pyUmWfZ5EnFpC8gPP46k2VzNIj8lrr2oyNpH4nNkNLGv2+yq9OtwOU5OP9cX8IiX8Xycx5m5
hCG2WfkyxC3LBT2GKZulHQ9mz2zD2OVrw+506AEVw28EMfTjAbBfpIlkU0tqf/nOhr7DgAZ2zfTr
58QsYiXuqFa1b/uYJtN9JtVS5dtewRD653e0nMJghGcxJ8ktU66Z5o2XrgFjMHoZvDRaBlMWx8Vr
eKbkZVT9opgYuSBUIz8wTVibnVOdHukDcdLIXNHDiz7/tqgYhz/osrLl8VjozXRpooFdyyuamkmT
xyKv3tfgPKQ8QKEz00Xhg8c3pesoYtYkLmhs0rOYo/GvQold9GFIhiL0zi1Mq5fntpo1Y9jMOjd9
KCyMTvwhLG3BmKxyDMvpjJYoTe80nlkmdsud2ePvFpQK5iHySIn5qvVissX7xurMe5euZhXYdyt0
U0if2MtxJ53X+vwJYWvr6fOop5cv3zULbr3Dbsy9kD9ZySDZu2ifG7gluMnmQtOYm3uhDwxUwxbZ
CZ/gErbUOvFcFQIhNdAD09pdZaGJ27CfKLLrHnuP4BMNPPxhG3mL5LZyPzJj3OqKERznaWQ4V5rX
+U0lIaB/ygeYTvKQ2MJMURNa6zsV1vzf1gH3B/2MI564JnRciTL8KeM7X7plNYtHSrv2U956nfmk
ffgBza6zfYc3EfTEjTWwI8fTd1QQcLvYo+BQ/XLSs93n1ZUufYgK+7ZDLgL6j1jMzGqYWN2wU+SG
nOAEkpJG9F1u30VpkJnzPiVnszKlZZqvB2GjwYYnjFP6QA6AtCJzu0x3Cfmj9SZYlpnpH/aUU2BA
gmNdagKFqYEWGtBV1dHzOJTk/ESce9m7xkkzcHXE6uYN15gVQqdHodhr6yzrbePyMXctOontXFLj
nC4KxLLcY2z1vBsabHEWoEDm1DxMzfk2aT7Qjh779XXTNxEqGWFnPkhYFmKWm/1Af83SwtQBIQ3U
iLid1H3sAmHHnjsfg4S6UsEyK55hOlt+ahbbhWeO8hlZQUpudk5T6I4N/obyephBNTB5YEqbmQjE
qVUHMmpmXtrj3DOHYi9ri+QCfNDK37WuHjvneg08lsq+rRmlXVXwPshz25Yzttf9JFyW3Bz2KW+p
dmgASckE4mIntlFrm1VwNDkYVp0MJrA+2IOa+EmOMJR7aFuMzbpU2NoQFGjLYyKlNHeyPCl/Fozf
kFqsDppR5Ftw3KFnQum284At8/bbJbgIl4SZHpb9yo2n1KK4tO/gK01yCD07e/2iJLt8FcOc6rFa
Kc0mOwxjy3ScRZAhwpBht7A+LGFq+e9me+lUsmGJCvyTaoeaRwqbDvniWrkmxDIopOW5CltOIz/O
Iaz6ZnCmpiVheyw6VtVon6T5RHvcmK8rxM4QA4ddi0FVDP0H3u6HuJ15eKr1Jau9XibJHZMLtRil
pkolH3aOWzaTJ6TDixH8Ma2rbDJ/t/iNx8Rd4exw5yiizHLfW5RSHhyLWUmxTHamo45INLH5Pq0k
48vFnSOQDtxph5Zi7JpAYfZR0Q0oUldnEZ+teqJZ3K7m8i5y3QieWUeWrz0XtdLFQTR6VM+qYo+5
6JIKRh1IUOltm1pl7WdIDhjKF7Juyq8+Ap8OSROkuadpxWH03RpZ5D5REAzozL1gUtBZ8zoKkMr6
HqqnA8opbAW7FkydaSC3K+fSK9lWEVUNAFRb3hF+qM0ctpjUodjq8BDDmUKbkH7tJgyjfbmUVLBU
Zy3DI31Io/9B4EfuJ9u8xeEU7mLpLjE+0xHPb1S1MbmsIWUnKxFJldO67qKsXO3uELsrgg9E/JQn
xVBcTbbtqIOOZIJQggBtvUugWDVsfHRMnfco+ul88MmLb6lVRjC8RTL00c5qXGNmQq9qh2VPmZwQ
lQ07CmwTJQLMseyjMzkpbvZqdmoYwSRbgQjGXmDdKFA0/v3Yt3Bjj7aSi2ox/rLn+W4eZm+4svqh
tt77lt+vD0PNrAYcLER3v0qdoBMoByE7fL7mIFln8JpSCUzN1rI4xtmQIysALIZxQoQKxE23slt7
nC6cKg/rr6RVGz1TnxmWFgRL4I1I3KRq5Mb1+mCwj0Nct0G4G8nYluIYV1YhruGlWkVx1EIR1qZ/
p3STDkDDm7AYXeqjAQB0sRc0h+BV27k8TH7zI/q2F5qfnfcT9h5kVydo62xLFEMqFdzDBcORb6fi
qYs18ZSdEKMsWgZEYzFVDXXo5sXEmrWFrA54gzdrs61ELCR83G1owseODZzPAa23WeEqGglYSjJr
QbeIj2E5JdRavF5N4cXaJhYhaZC2QOivwJjk7DJDHSQuFQkp+Z2HMWhM9Cf6wpwcZO6A1twuvq7A
3IxtlYlPKGpqbsVRliyiI3Ufcg1qbAOWyaDviezDAl6Ce/TdgCh4sondsEVcJsValoeZ2TRiazIV
Mo/av73XTi1W70RvUUlIVLucs62zasQTkUZ2q0T6RLN41ZkFsSpd9ugJrBKhCV4AAwOEp7rZOcN2
mrnTLkkl1x4l7YXrB029hb9rYkxLaw5mDfq1TY/Eg/vvo9ysk4UvS37EzZ2IO6pJ1jrdE53bJl6N
0LWtSDjHTnyZprZuDsLNZX2JuE2zLQ4KmJx3XitpQhb6vs0YUbMUg/NttPqliHboz/RYbtgPyRtA
YEEnCiTN7gKGnzV8MSHS93SP6CuzS/3YwXxaCjSsJgiWw1ZE9DzUG8eLLQZSJX4eNcclgyL+rRzp
YZ5YZnJzB2NvQds//TMSa8sntBkVqkjyQ3XKb2zgjwD/Lpx6CdG9QkVkyDKbOOB9UGGE+KnsKCud
v7xGNkzHeeD4Nw53IYUAnhirQ4d3NPZaAvSrk0LjMLBOuY20XxcyyItTqkRSTWc+4ai+W6Vrolhn
VSb51HV0eaRnyq5NUGEPwI+mzeQu5iAfCnx7P1Xk65x5m012J4cdIFOiFBweTTSvG9V1wQlgaa/D
GxAEbpNdilja3M+yojsAqON1No+qC4LMO1Tw5hNpq9YkvGo6s9Hsad8Eak7J0ThrIf8AF4hHGl6O
rStL4uzkZXdNtU7YNClQEahuPU8RBQJaMPHmIMx8jClSEVnbjED+DTVUzR/4781PE5V0681UhpLt
0gGszx6WUiPjXuCCJCaY95S525fPoxgA6tyV49TwUrueha+69GZPJ591OCXQqAJ8mSRfdctcKLcZ
/hd8Z37nm7lb1m5UX1UIo/SwS8o+dGi9RwXiEdROzcK7HS1dca167XgE2ygzSVY4JrSOEKTp94mM
su5JdwiqcNkpRgXnnbOl7136kzMUNcYFLvOssl1zCKRGzonNdrBc4jPyI8JLDp6852EJ1uXCQyCx
XEBUW2Z9nF2vLZ506swMSvwS+fSJrYk1+ibseNpsxiMJUdrLiThc64jAYE4Sm9MXNgYef0o4s3R7
/Kms+RmPGUySaKDAsdxLVcpxRKdd0lunUChvvKM9zkMRak0O4w+2xhy6pQhNFNbNjjnkS/SW/JeJ
apgfcR8nvLWhIqGLyWhorREECcyHiFGioAENRBDCGrA6LWde6l6qpk2c8wPTSQRcntRevJqlUrEm
i5OSwQwjqMbahYjGCenKfF4KjE2eXz69WpcmtCqtCtXwZmnBNLS7QWtEs4igJpM/smJvMVNS2uFU
v7PpJK9bBmQ1J+4gsgYGcnKk+cQ5LSfqSkCAInhdpjw5xvihjLdilmt/Fo5wOE5h73KmYGOzfOID
WqGAKx8Erjv8msgfOtaqvK1NJOrWLqv4dno5Nc4FVUywh7l2WKQI+Eex7clcueUeBqY5Bb4cLMoY
OCs5gHWeFowmWrHQ9DyEKyden+4IJjqHJCBh2ymtKcjtM2c0tz7WyMqr/ZyO8TDsrRlc8ZVUJEf4
QXC46w3yPbNgDbxGC9pq0eMAiko461cqAziDF09eg80DNqQvKwdOpibQrZzCzMq3s0b/Q86IjnL8
gyjoSGwhX+WMqKGHU4wv+Zc5Hsw501hhpMHO8hHsRbShdTzvHy75OqtGmopWkYBefd9xQwKnX9NU
i6LPxR7ggQViMtWbl6lRhnDy//R0v1+KNgBiXM8UjChNmcben1LnbpqoVZOd+JL5yE+JPIXvaYJC
FmvWrrdH8ns28Of8sUPqWDpeQAujB1rsdd2lt52+nCDOfZm9auQgM6YVhAn0737KZ4hTrsNeuIqG
RWOsfXo2QNxCj8E0YnA5d5OFMJWNiCOvWXteVuYftY+6S8wRAS++nj0BfNnEn96+/d+GCo0/hMGI
ojnHcdc2f//TUM1dXA3JJIOnIcPZCP6W3ZljIZsrR6i3L/XbnPNIDEeUgqgEuXSdv3orhFGZC+xd
PSF+88blFC9hPj3QEmc+ERHTifGnKfe6hAI20ZHCdQOuiQPwa0Jkh+guTMjfPwFMMGvUMPOx3YwZ
K/v7xEUfuuziiHifYGLhz3/jrGR371jt6CJ7+9lfDzNVU3R/JGkpkwaO83pGTkiH9RQl3mdyEhwd
sUsgSxWCEGQFfPtKr0fZDTybp4XDxNVIjr1KXmNn1VJxz53PaI4lwjpVmqN5lnNSO+nUNVHj2xeE
GvpL/cTFPJa0M0XegAof6aNfZxBSyJXFZOk+dzV1IuhjCGJY5lgUF95r3LXlDL4tS5Y02soCFvWy
f/sGjEnnr3eAPMA18i+k6pJHf72y4ExTOkrWn9vUXpJ6Ty1rLfZkPdIoP76ELRqEEnue8MHk4430
khS3gsGkvCoByTc9m14Gp4JryRiR+l/4ihs/8jgt0KBesyX0xdSE/S70Bmhum8wpBlZrOQVms9TL
iO89OmibD3/jsToRiwxyJHnkALXDq47ewDrfhwTz7oD+SuOjtmsKy8RWPZ3ALBZW50pOMRD1zHYO
mo3YRvaI59iLVae4LfmSoO8J7Vk1i8I1QVMeDt8jPtcxwXKcV9jrbWzoQ4x/mOQdmUlXz9okWeqC
tOzbw//bhJM+pEUkH+iDaE18PbVHThYp1OXlsUlbj5g1UYM5AtHnZiKAHynrty9pVoqfl1yz1Ebf
azQhvQDytRyKQtmCNC2cHiMaq3mDYxaJ4gpmuFtY1/T0cQcoMqKRQ9Ts4HdKEraszN28fRuvnxx1
DHIsh2Y9HpvC+6tNtEa6N/Eu08cCpFV1ntHxXN27xeR2l24//Culmw/zB3KDR6ZIYJYV+q/VhsKx
kyxVff9ZA3ZYH4JcmmmR58pEVm8/l/vqk+a3hxJ+oC0klTekN68eLJlmu8T7yL2v+wGSvKGvQVRL
SKNy0qVTnd1hQ8G74j8kCRvm5Rx40QOHtYCWS+M0RAqGI4+p36sJWSl5hNU3gXqWcEJJJYvAc4oF
rUlrzZZJA4SggfgIdShMmhhYGT+tLcfj4awiYC9KEstUihxdmfWaA0Ext2eWxTpaHmrMGv2rtwfh
1aLCGKB08+gQpwKJCur1GARBMkSVGOf7scrNzhw3lCrAOE4NJ+e3L2XAUT/PZ/NOWbwEDReCbdF7
PZ+xHSCn6vjxXeg33681wlK5xrXWhPojSz1L0EvtvaRJh1HAzM1kSX/8qdOY8mQcEGwGN/ClyWdy
FlSsdG7Vx2QUrCIfrfWy51PFDDhTVTEdF2/kwLRHtcvxOFtZ1PThR+GPapEpIlll7vLtrKG98ne6
qcwLX4OcqwCvIByWL6kJ7ZABhRMfpOZN5g5Ry7SRmoW/2SFYM4nlHyU0vkjmbk7Ng30vjslyeJvF
Af7f/GG/DX99fVIaSpdruzQsBeyFgLJ+3ZVankCHtoqfS+3JT3kH8v3gUh49iSJUPjn+dDggTYwu
Fkhw8U75MZIyyDwPOsls+uPDsaZomnibCMppvxHp0N7HnF/7m3LudbpNQw26NcpvK0ptz1r5qKlE
Z+GLRy1HvEPx3VykdtZfsSOlxtE31cXOgpvxcaWOrMGiIKvcKMit/o6sYfGANTp4xAEJ9rTto+7G
Z1cqDn5peVdy6fRuUEu7pyZePqTU8M9LMIIUf9RAOq+hBzhHHlF+pmsigIMBdX4zrq3t7DzVyTuX
/flJpXgubuJOpKQwkr4/4voCXEt640PmeSl9ULbl18D+A/VYjFH/tbRU90H4fU9YhH16Po/5gTLB
Qhsp9SJAOlOUwV7wK32OSH2PWlyTsEnz/OMYIpyDPjAWcAS75g6NAykxH+Uz2T7L36JluPWHxf7i
LkP/2QFydZ+OAXyeWVQXheyzPYq37OLtj+zXxZoJQVmZxSwgVPBdAoVXE6Ih/SOhYtdfeV/zTeTG
dbEXZQNZTHS2uH/7Yr9+0C8XkzTKmW2eGO51RIIimNCui+qv/5e9M1luHMm69Ku09R5pcMxos3/R
BDiKokTNoQ1MI+bZMT59f1BkWGVEVmV27qsWZRUVIZEEHfDr957zHeBAORqhUb0TBf1VOA/pZW/o
S9pGWOYQF0mm+pt67E8r/+tjotVhZMND/NfzSGe2bgl4O3+vyf+s4L5CPdrkOnEOf7NNfP2mf23D
X5/S0DSEBy4mUd399RA5Eiaq9Whl3sVAiDY1D9vFquTAA50jyrCaaHlwE2NzwSmZmQj29Z7wwW0f
mxYCconsC7GeddVYjXsoFDJR2W/JP6avKB/ynOJFk0VerTQpjLPaJ8Vn3unOERODfe61SXt0E86p
EC8FrsAwDa/03GUdK3Zu0b1JmcWJwaWx1rjTO+FIklFC12xEaKov6ih1b+b7+5taSCyr6KdLspQB
lEFcFxxN2q8lgVCgfRhwut+Nbrn4UaxHW71Mst04jy8F4RPfdMUd/U4LGXrUjWLtwAYDUv/r5Wf+
6W3Yi1hz0YMIhGOW/cshQKRBzvggst/DjsEB7TTYeKNj2uTQMiWRfm9AIrFzSRgqHKKcaU+Z70r6
Vpd9ZaFjh5WuXM0iNHb6PNE4ayAS58SnAGtNlct4KuwjXrFtoef6HT3Q7KpU+NJIAKnHyZvlyNiF
hMTAsysXOITG4RtTT/w5WUl80u0Knhed4l0cltUVIVmZ9Mug7V7JiOvuVVNLz0oBD538EzFsdE0O
ZDA3cXg3ZG6UkNqs8gFICHPBgYSMAECB4XWx2RNvDVNxjnE0GY+CrjYUljQla+qvL+5y7X76irm2
2KmoQS1Os/h5f95ZOlrCfO928F7HhnlSaj15qGLcbz4QV/UkhoUZ89ev+IsBnxsN6uSiukWPhKEA
udrPLylULWtyts6PpEqMA20z8g2CblIuaFQSekbSLk96M2zeK13NHkgUk8c4dtWz0rv65q/fyxfD
9+ePT6nJ41NzsADi6vzl4zdDbrZOWBQf4ciAgXN7GTyXgAt7v84nc1WTd02HIy+BEUqTXqGfRJa5
i5DD+vRJXNdj4Akeoykt+ymWWb+0fmmhF0obXZIA2O5qHXqjhdlrH5p2aKyIX9KIlAbyh+G5Aiu1
aiBKeOCrzWqrcFk2SSqVS6IUev7BYMNJa6PpehoHtjOCJ6tNCPAILJ+I02POmJeKUs9ho2d1ViAp
ITNzDW83ezB7jqbUIu2t1EiGxi+jk4hiI5dhJTIu8iy6fte6GxeMXFHUIYMfmStJK8tCr0X7cDlU
LoaZMoaO6HH9SrFHnDI0W9UKtUdSM+MnMP7y04i1mFZPn4AF/+tv58/PH1aKi2gO6RpWgj/19XSN
SWg6DumHY9EfWBERkbyi8piYGvKVcaay3+d2CR4ulNepx/GBerSv/i4t498tWCAZlM06ylVoLL8s
WJRSbd7OdvYRECrR+V9fiDV3UXaMM0sSWtO7d6T7dZvJgpFcucH4LXKavmKdzL/TIt7G/xN+gALO
UFoUPwmj/80NS1YavWUeHWgtf1Xsznk39OWYJh+hrVq3+N3aGy0jFA7XRHzBvtidCKaXh8oo8n02
6gIYEY66lZ3J8Tq2IwdBcjH0JA52+ifK+dpcOXWc3v7NN/enksG20LuS9qGhmeZQ+csl63PCrtza
6D7oetfhPZWF2RJNbRDn3GKv06w+ZabUzpbjO41ZfkazauMVwhM1bCEXtg+mm4VH1R7Sew3KFhMS
doFNkzQZlztMwF7XjHu/r7f/kjjupurjf/73y3seFz+oGn9M42GDX269/2y0uC07Gf0v76Ups7j4
yXDx+4/+oHA4vy3YYDgaFnoQoMM/DBcKtGEOgoy00SVb3//mh2UeRDHi80WSTUGEmYql8sMyD/Wd
e9/EZc9qogT5R4YLTrw/7XUIShGWQuFgx+F9QB/5pWjuYi0tQIiXu5G56ECTGl6gR1npkh/Cg9cq
NJLqCkJHzy6M2n6FmDo+DRbnPkxrgDoavRN3SRDrj1+PAIiqxW2PHeyZhwYKT6Y9OPqG2dxVDRGi
KzZA+gskQ/h2WpSjx+Dbyn2pjAnhoTRI9KOTKdEpFSUrGSGzfuCUk9Xrmvy1edVM0yC8tLOi0Z+X
crHNO2owpnbGJlVa4wqjwXidRoHhKQgLlLVaK/qhCaYlUd5CNu8zjyIXC4IWNJtysi7hGgcIjrRA
33f5EhXBKXnvkrNSrKHQ9kCReFPse4H84FWwVTcGrmYv6IpWXznVErtgW9m0dieIS2MAGM9Dm1Gm
ENIGyh+IOzYOcDX/5Ixs7szAHK/Rmw4hWetx8D5bi+ISe2X7WJFkwu/lnT0aldk+YnpMb9yUg0xA
9sTV0MFJrlqnvJJt008XYz2Gpm90nLxXQUQ/YJXlmQg8VSBgQdVXOWdSfMnrsSouZCICcqpV9J44
4ZPRPoO1rZ5F6DjXQVZiwyUPjKNk4NpsqMyMSszVkEjM2d6P0I6vUlG71+gBsf4hRjR3LdePbkHt
HjMrrrdzFA3HCF/cZox64AQYFMpbIWrnzHkzPiUpQRfu5Ji7XISgC4JG3AUcYPaUBcg5sxg2bmeX
V2lT98rtbED7tBBvHIx2IGA2SzuDxD+elcAbcibriNlQW8f16zDn9Te86NpjpUK78xgvm0xlQrN9
ZyDjrBuAXbSd0FqcxwoEyzQZ7q1GmXke9RlEMMIKhQjzXn/WgpFdnZVnaggQleHFmeGMplC2jswJ
7XDT0U4+GCMhxjsAo3Led5DIsM8FnXLUCDoZvEEjHF5XRweiS6ujcdlHZmoOlCtAQG3QHOmRHDv3
uoINr68EcqB7XIHGZdQq6sCMMzMUdRFDlLPpWcwP9W2IesYNiBBKkJ+sQFOlqAVQxDnf6oWirEiX
zAUkC3rA96MMPcw4vauXjGjH2ZD6iYWQhGYCbg7Sqjqs0HU9xY9a1bryYPIfHEEsnydslcot0ZXk
oqYBcMC8v4h72T5GdX4KXD08QiEicCDBowNuX9Pz0lAOYa7ahW8T5XxPbybexPOETHGW8zpopnSj
WvxRUqnu6zkcHmJJkqfiRuUlSMh63VbyJukEOY5ZpZHtkzDhwx4UDQ8WMyJrx+2t3AHfDbZl08wN
IkX0Rh4C3wqDllb7VjqGG4XRGrmXBe8BIlnMMafvtM6f5DheKI6a7EtMWv7kFjflDJo6aeEK9YS/
uvhlDwNGr7U9xtnakJwn63LcDoqhvJszTxqsxl4dAKR2RIJWRROrqZL2qZ3GWzkTeotldAse0nwQ
TTNh8+06JPhdeUXw4w2gIW3VNzNfW+siY13gIn0W0CpBWrIJIJ+2DB8uVDzmH8lkn9RZC76BNR92
KNWz28LqnaukR6FKujfg6aztr4F6Am4sgfsOHHu2hjWf4hpBeWaoEnUGMIVJpES3KPyUSIkNipum
rHwSDb+VgW2SImRfzVVzCZg5IFkcBCNg9oa8paLZJBCsL5smGK6sduEEteWry9MWc7dw1nEwBZuS
BHfEsBQqgOrq3VyWsZf1vXJAtiwupmyCVmGHz2WstX6I/tZLbTS6mtstKreyeaTSIdWLhu79cpJn
YQzKNmzGT2RJUKcjCnPZDOIOJnnwrKcmp54vjpyVGHlCoI6m7jviztKdnhvmRVFT6uNoo/dVhSUZ
G11qHJxgaU4rdAy6isCfeGZrShYFlDQNThK9NdsnSCzLOQDZLdOZOpY3blsHD25tcsvCWEDV0UUn
8kpxgpdLTuQ8xulTZWf5RnTwHIJYczZMF9xtOffVt2oI1Ed4Gspa9oSkl0MxnwrOAhdTPTQ7xHHO
GcFHcUkLTbniJPVgh3WOq8Stu01IeYfGLhAjqW1wIg7mmIRHN80dAKuFWXuZjDvbSzVCQ1a1Fc8o
EXK41NA2vF4T+kkPMDTOeQRKhhB6WNklEdX4FdOD0mBjRhzbER/bKQ+yUttHVlxRE5kxVBeq3tyg
ky7PeFbUk56khe9IYw/AgmVgDBsVkj/uwcjYaRpSzh5L8r4J7ORDb438A8V/7lsR/FQPNT+cpsaw
wCXjDtQ9VNCmj1ZX3CNl7m+Qrzjvo9OFVP21c6wD7Vlxu0+kEOETlpwlAqlQvdYw75mVK5fcU6lH
XBxUGsFzbp7q4D5sDNz3yTOg8jdHq80tikiSANCseAwonqZ+cn2ZlRrAhualzvFA9jqx1NGYrsEF
Vh9hYPdYDRUsII6e7HqNSamngZVgSh+I66y1FnDVkJ4LwXg+lAXchqZb51KDPKKRi4KiJGoGeAgi
n0/hJDnB5O17l0R3cHEopagvYgDfq0HvM4AFyeybBG7WKzTc8pCaSxK6XjueNJoWsLSCwJEcpxct
Te8UzaJTOtTqc6TZMR0Zx/5oRHPT9eIzACcMKQiAtWJ/KzKh+oSPxdsxVe2DC1zhCH7BWNl6/a0M
52ozu91hKAAbY62s1j0Ubd8Je50+7pTvacTtzYl4gMQS9/EwpUdEOwGqeItgqqZ1aQ7LyKvUZAv8
ujqUcrw18JFvBHkL4F5Nr0Of/y6pPz2pd+UtYMneY7bOtQ5yffKR4vdr0yolwfFtvhm7En6w4rwF
ofYk6jD4pmKru8KMl3m5Y55rIVlX5luukaAez+i6qiiuLio4wRddrX3Y+cAgWby3TlpHPvKJyhPw
wHZORTJWa8AgjusI3rdjRVsqFvsGHXVI2ukAhprq8Yqk9eC6CUpSsUu/zJptHMF3mVpgy3bFEhVO
6E/RqPkNg/MTKrb7kRjlG3ACHbRdAKqYPwpwtFFXgpPl9N9bfDpg2QZb+lGpW8vHBfmA7m+7FJu1
KK5KW5K6MbgXSHI/zTjc1RoudwalV8HQXi0EFCYQrQdAniZ+/oxoqVjN7Xg3kFRbCXlF8tcl1Vrs
8Ysn7nsCwJEqg/DsO9LZE25z04FA6pt6bKKXxYN7LEDjHa28LrzIahCPoxphdpbP1zhn0u/d9P8e
/P7m4CdcgyPafz73/d8mppPy04Hv+4/8cNirLic01dSXFBcotUsu1+/URSFIdRUGhlCSUxd8Gn/1
48Rnk9zKT2E0YMqufh0Tf5z4sNhrDuBFADq4JWEU/gNGGtOJnw98KvIc3tcCWwOWZiBo+rnTmNd2
23LoGo6kS2DEWApkxL/o/bmZ1Yuy6h0tp49uI43epqzoXH2UjCAEY0SegXdaDpq2WS2aLA1AdNJU
Q+LZPHwq5zbGiNBa0iNlCsWcVw2jUWwMfYAwSzTitEuUYUAXx6BOy/t90zGx7wH/yK6Q1WWRTUnh
933MWcZ1quJoBsl4oJPYq3t4WdPlZAQwB/W6YpJgPSlt2W+HsrdDTx1dH2JNdfza9nPGWGJlmql2
F7F/Fl4cdQPugnwAW0oHyl0PTJkH0ELzwsKHdHIzp735olYazToGX/1lTGJTs9aipS3N5JUIEOpg
FYTZ2GdbROyZ45tuCfwpD2v75KL9xF5HEbqtFaXkd1aT3MJU6cE1LsLXKDfSXcU4cJPMjY2WEx8H
YDUj4Y4noKS/0kjW+YbjB6G9hXdiy8hK+lHb0sEMq0kjDTOcZqQpOUYqs+6fZGNMD8Fcoq2Fj0Ru
M1q/kedyY/JBjUDttCdUvvVxMCG8tRqbnSHSfm1BTwLoLhqw/yXFNI3GYc0ihewap4O5tzDyPLjJ
NB5pyLvtFkVRLTdR26jQ8lnqHJ45B51rK11rPLzyrS6JcrBKc0Qbk0igk8DuFA5UeW8jijaa0me/
YgRq9fmuLoPIB7nQORttGIb1IJMF+qn1eDA1qXKhw4r88UVp92kHsfoyE7izSU3uxs0SiLpWC2N6
yYXLKdNtcnPblWN1K0hgu+DAnT3h57RWgcqg2gPIKeHQRKHqa419ledTwziGLmSDfa32KqRELBox
in7NcKHeTH04gq9q3KvRrCsq4wZPRW2Eh4iupU0eW55iVdFNgoKijgBT6oq9DBINyLVNUUTI0jN3
Q8NIGSH+K4ZlAeeqlX26DWWt3QUQ8fZDk9sbkN426LEiaG8do39TsYX5/YRGKMA+k6+4A+I9TWad
xB3g8q4XWo445hazYHjxzreF8rrFJgpa1KSJKnyz10IA/bj0/Tao70zcU6eaUf5rJvPA7+pweqA9
ku+CmTBNT1FUN1lVChypvlLaq6kci1NtcrwkbA7E4Qr3I2z7Nl2030F5b4W1xBLkFvuC5sujJCx2
RMQRZDcpkEUPS1cF/DzHNQDcrLEDEh5MI1XPODSgk8pRdzdlYdDYd0zcHBcVGU4c5WR11eSBu2kt
NfsoOLDsySguvTGq2d3HyV0R+/CWYLTz9Ynjv+nE+Bszhgqlob0g1300s8b0ijRkxub2mt2kfs1g
JCQnq6qjqrOuh1ahCCGA0LS6qflvO/R7Avnf7IoU8vQg//OuiIus+HiT8Vsn/9hF/f5jPzqh4rdl
b8PLztyALU38a2e09d9s2pyqyu5nCPK+2bV+3xkNGp5IijUeGLTavhihP3qhhvob5FALZoX5fUf9
R+GWzPh+3hoNBzklmFqUq4KuqPrraNfUJtAYeJx2ZREuGWT0B8Cl0yKS8mmy0leHEfWqKme5LrrR
9chQpbofp/TgiJQGhXTunN7hIJZhShu77Ng7BhB1xYKG2JD9oyowvxLu66kzuJPA3rE55hT5YaXD
EqjdTeUquH7RR3lMxM4VlmCfrQgrESFba1Hb4yoUvCaspp6StuA1wZr5ACae+sy962gOreqqRGpr
Jq+WUqn4g/nnKXlQHjtls6/65kmAMUf72OurBAXkOg/sB2RFN4kuXntO1vxs9ZSV8SfjdNKWS5uI
Mks7CyyUiO35PFY1yrXa1E8W2ANMomRdDwofrwgZ5485QTG9YsPCd/ZhgUqepLXK6wmTCGWOtChJ
P1HwjSvL4lLipWh9teaXZj2XwCALmo/AZVCdfR63rR80/Kte5T0gvwExGGjtqsM9s0sMosrLjAOv
xSHZ61PjPDidXC8/mRCLs4rdjkRlbeE3TlyCKtPl2pRiPodldnanrF9nLS+Zob6+MI2atz/o4Jhr
3pBeWanPQOU+bd1xFeAl94GAfU5FXTK5bDTPDCbIdSlRBHgWw7cgUwTXwb1DYSbXesHRpQUuwLaP
2deQjoM3DlR0k7jtXeAEKaHsQDiRes6balbn3eBw9fSWFx1Me+8I5e5rkcT1BN7SqFsfLIPqi0k/
572DS0x17wZH9LTr+K9cNc99zJsKExqqOimrG4FDxy/DfDzYrtR41i+rSPJvqTBPcSt4YJagp+2e
SbsVcB6fNRYWxRh0C/IwWM+fuFuA3lGUrrIhfmV8wXc/86eE/jXHdKXwB+mAy8DY5OUkelBUwOLU
7Gq+VOvW5czTPH1933no0HeBxkiOFZ8X0627WFn46mt4dp3lZAdVhJ/c5KxqEGKoi1idDqlSAAP4
Kbag6T6L+CPepVdd8Ea482D4VXjlOy4XNczdNPPNDzS0VrY9BAfCt+bLCBImVI/2icAqUtZtvmGn
YzE53I1fF6OouCkGhX9apflrXg7aOlDt+gD5wyRMi0VLtllwmOj23+RtUnlM4ZLV0Ey0IDDPbbAb
a+sGm5tPcBaXVO15D2FEMFWrjNvQ0jDI1kHs0SzW1qnNTQmhlPDGpKDtWrLKaAggsCrSS0fjRtVV
HgROD0AOG3y2Jhzxk1Sj+NxH5unr9tIxKu9U0Wnr0aD+7Kj4iG0FQsu4vPUNmi4HcqGK7Qg6b40t
kdswZYb+9d0yQl8cOsWRtMXlEcISKKraJUiLa/O1ymc7nTe41NwttMp0PeEG3FAYZj6W4IrIOa77
ssK5xc8xaRVbfeIx5vbc38bszruvr1l2w2IaZxmBNJbrnqHDC9QdZWdGfFQMMcjKOqHsaCrz9DLj
V3iBfAUi/QS7igqPYOq1CjLKy3XpelohgoPadMXRjtXxZI7m1hmSV4zS9MLtoTgGqZau4fIxBp1V
ZRea3Kc0z8VxsiN3Y1sssiLXiyONWF4dezzP3hx7Pw8HMcNhHY0tjowWw/jILxND7xmtTuyUVHUf
t167qrW22Q8WSku76B1/jHN1p4JjWisQyDw7FDzcBr66LyspMX7nCDEJnqti2laShwnOu94zqUk4
0fMWoJxwF2HV3eX0Cne5nenfn02aO2rrr5u2j60ehK1yx++Ors2GJdGYxlmbkmkLAsuhDUi2FxRH
FlM9VtRQMd9fmZHNVavFcbSM8dTZ6ScnXC7NxB3wda0thg9+mvMrO8H3ahQU8MYoW19Bab8M2bBY
ZkpwrUGR9HGxZFsnqD9rm/877xJgHVS+YczzxGBWQ/OoeUNIaKLnoIwuCbhkIlCuUyW6VobuZC96
O31wwsMUjyTQKWRtCYLuJ3WNbprZVDEqZIzP2fycmllOiCIVgbV2HUHXBS9+8qol5egLoC/EIqva
nRmmmY8SvEouCTbqDhgs+Qp1NQiDVRCSRLZOVGrHqIzldRQaTBDAuGQQoHEkci6bUqmuqSuJPYTS
WgnPIunnUAXdiyLL8r11+zcjJhGQeKsx/XRqXQEOh6NuplXvjsNOFk25cfMUBz/9rVr3qqThnk+M
XvFDtiKf4UVwif92VjaZjs/ulGoICqiZjTbf4ayWyhNgi96LOmKLjkHk6rjvmoy063pK6/hk9oCD
1iFB78pN0VE+QBe4+0Mp9m/0ET8LDyie7EVuyyEdRQjWnF+1iqQrabNRNt3Ojqdpi5LnEx6OwyPI
uYNlAQxFctcZ8d8ap36WZfz+uga8EQ3TiP2n2TKNMg2fc9XtxPD1sOMe1OP0vRgYSYKB+/zrT/mz
/PP3V0NiYWmgvmhz/DLJnodQMTjvdyRWskCWSsBNA2UdKq3qf73Sf1tjf3MIoDkFsPE/HwL8j+xl
eGk+/ngC+P4zP04AJq0x18CuZ6As+17m/0gkMTkcMIOHTImm6av/9aM15v7G0uV0AL+NIwIihX+J
IRyQlbD+VcsCr4bNTf8nvTFcfb8cABbDicCAoQpofHThfllCaUJNJGa33k0MMJ/owhSVb1U63Zpx
hqk92k0uN1U9XTN7mAeP7iwVuE3cYqCiUevjgppTn8VTEHc5SugiJXDSVYePUVrKsrsn4KPh4Weh
vC5wRa5ogT0bSsOtyDl9U4Q0XSZdDdfN6BLFzkVk3ExNdptINrwRgPYpS0zosU5H3WjDdzIWL1Bz
QM+XUhKwuSt2xuQ1auoVnN8GmQDboJXrkOFHM9kSky6IM2qsam+jP9jDPZI3hRsaB6xTz4ldK09x
lrP/EFa/Muqx2DLUZ46zHFAqp62u5pGHRD62595h+KqkfEggIyswGWfu9ZThXBr5SCEIa6H634KE
+ET3EQ8r1ZUQCpgQr82Kjo5WSwg2M68e9drZAvO0im15KdHurTqNIkM4JFN3lwIQxypC9jnUsziO
bAJwwQtUKA7zbs2BZTflR8OpnvA4wlsRcjxQPz1TYO8X3PRqYeQzE32uTWo/uyxvgXjN32A7qn6F
Ip4padVtOpWijvEUowL3btSDNVMva5UG1vIWgIKZ/Gq3HvUtYAb1Sk8VZUNzp7wNWzd7KDnMPYhR
pyZaKn8mH/oGR9NIJxGxf4Tyo52ra9UyZnBgykFiv30p4SvdVbQNUQ8HxC7rVbYeKAOvMzQjgTM7
tExkfTXhEX8yUufOauNyS/AU4Ip2AukbpPZ6RmO2c2sLmUPm3GdzpdQrWq33oRGgVIDJaVOitPlZ
Iz3nTVGR4nl2repnqWX6iQztSPgDfDQOJ1E9rwmDudUVMa5x4zRLspl+02aSLo0TFMTdRtjguXNW
Cawyhi5KDxlurN1tg7+cvM1KCAqEqURnYjor6RBgftLE2F3g6JGwYxrFvLdxVF8YuaU+G3xwv50k
hR7j/JguVlqWG+E0QbPS0TxcgD4y5b4Ev04bN5HTp1KYs7J1mrIMPifXHi4zrUE8HOK/pgKM0XCy
4YMlScTtfx/0/z+QYc1AGP9XT/qrNHuJyvynKcjvP/T7o941fiPaiT4KUnk0oghW/zUGUXWGHRQj
ZEipGtJR/urHs34Zg/xBD/djBKKTLoMkxWFvB9i16OH+wQwEW+7Pz3ksQ7SSYN8K3oHAcfeLErPh
aFSMlqgPBrNDfCvZRka93Oi5dGhfFgRlm25It0YS12iu08bqFEDAoMUzeiGAcIhjq5gscPSNgy3D
dh0aObb6Cyd04+RaWkXz3Dcx4PLZKg6RCDOCicGauwvgvFbjOD9oC/bcWgDoDA8KouoXKnqxANJx
mS6s9Elsw4EjajiD/Nnk/QBVvf8irDtqRMCqXLDr/ReCfVpo7PbCZU8g0Blr3eqLwgOq5sQvvVSi
pw4OKeL/hjzTTdV2REpJU43w++GZZJTdwZqLxlU+xI4+nLIITLO9cWqeKYDPyLnkAdw2PE6KidbK
DmcQycBrZNYQ/w6FidMQn4OGZN70087Og5OjzUE3EEnD9awXVFeHUCkw2QgZ7KIyhBYYCPVtGDKg
7es0is2B2JWiNZkrFXBuUg/W5azAaeoKpNxIK5TcG6VrIDiPnLk26HwnlTGjtAOnVDEDQdaCUhag
UDkn7wBkp9ZMwWOEk+lDQ4mZmWvkXW+1dAyaE6YIZa8ORXOtJsS4gr7SV0NvNKukjdCEAyvYhmal
3UIC6mIaMyrTDVEMZzhZ5sZyq+nFrpJ0TXIx0cnphIwJOP+md/L0SP+M+Gz0EvuylIzPip4WOuwd
iwZX1u2dfvRsSBKbPCeaVLei8MqEggKaIRt9AgtS35CcyBLmziSXu8G5yYccDYciK7YjBDqz0ldX
WWLdw58Kz3pYt9dD1NtnDED9tyh3Rj90OTY3VTSeWQ8lo40yfsjaMbjOtHJ6pBeiwKrout4LbC3w
BxEv86s0eIiqUSfmxVKulDEY5Qqin7uhZagfA4CJWyVB7+ALuu3TQ1U7JtkFmXWP0Lq4RReF/CgP
onD0TECCIHDyxh69cprnfdFolrVyJSFhHVO+/YDQcAtKIXzQIZlcuLPN8ElU5nAHv6Cl5KmaIAFe
1WSfYjAs4sLsmZYT+vBiDVFnxkqomdfMhOgwDiYJZLbfJp1B71Af7aOYKqB7oHkYZzLE6a+6MNQu
xEiqogFDcbVE21NfAOU9R5lVPHBCLLagRapXtsJHQTKKJwmOOvBNk8JQgcCd2sq5nKdsPJNBGR0K
Uqc5nOvzU6fPeb6BbqS9JSXBJMpckMlT17p9GLKRQ3ZSffRuHewoXmvyk1OSOCkrbtHGdE9wGrPH
CTXSoz7I2KRJ4KSPtVLAXEq5wyxFYihghLxmr5MbvAYXQ5nA0cHHuMXrPV0VZOwchrF1wYCSe16t
+FnlSiR4DmZzhgtngiq8hmE4HkalGhuvDGno9YLzOIOkMVuRdkLTSKmndTl0lQfRim5ctkjiqR+9
UFE9NKjDoVRdtv/J1B4MW9FRLDT38dzcJviz3kkbTzXqOrCVK3Mg9cvTsKrc2U1iXOTqFBxxyWOY
RHjn23G45zhsXyIzrLk1uvYWu33mm41avlkdmRwV6Q3XeuDOr/VQUrwKJRuXkW11ESahcR9GBqrI
OtOM1ZDXuPtnN7w0YMh9k4zQQNqFXkDQqQcbHBNHMhLsHVfhSwv49SMbtM5r+/qodcGApmMY/ajv
9CcGgvEOYKnmrEbiwI7aSAsTWuNAq0tqGNpSAwmJqEdl05SLsdFVnfJMyDwZnJUUUFa7UZz6NsaE
lDGwpJjLh2TcMTYeb8rBaBGQhoN+i1zKecW+iYAPLAXVHtZpd42KawIQFxAy3RfmS2c25QVVawPn
UAqec52qj9ehwHm/6pyIxtFgqJeUfOJuEkp7skO3m1Zhpw8gmZiIrVqc1WXu9CjjJoFgRWjliRBs
KnICmzypjm81e96NGKxpD0et9filIU3joN2baQX6qzbGI5pKxg9O5bzRLTA/S8V4J65DOwob1A8t
J4RomZusOVOQXobV4HIgSfrS1VO0rWppJUwU3qJFBgXwCeXMON6XanM71jOxOaJh8E94Nkk1VrSJ
OdSRQj67CIOacq1YWkTWYDu0uxD1dwZzeoPBIfCpRsVjXJvGNglNdcP9/pbQy7uhNzdgE8vKOzBL
PEGipjoMSZrD6QrM7NLEC8oksyB1vFDDnTKMU8wxyJJbTpPlmZWbcxhxh2uK1ua9Ji4E6nolMsoe
w3kIrcA48A7xVgNC9EqzogGWpWZ+nQeKuQFTWO4hAmoeHILRn1o1PqK9s1ckVZdbCdwXjfIov2kN
lXTmlDTA7fRZtuI1qUnondkej/2Qo9OzWhBkhlMz+iUhyR/ziMaePrafQieCshNTd5uAZcC7RNBi
GTqYhZ2Sw2KjBLcxYtaTpdpyO7gERE1t3Fz1+PfFOpnRJq4MLXegTUTKfugumtiICDYaXkG7Zs81
CFkcU076ngPWXU+Eva147D1HTvbRpHG7jBFsD+8JbW2T/wWU0l0RtGDtEMape5UYLx9mMW5riDJH
Th7Jm5s4UMazSNlKE++UgSX9nMhMP2htEm8qmdT7joKEAUvm7nTSbDb2SOWF1d5EZBIhOc7LjPto
rABLCZw7Ko0zb4R1CCmzLd6kOZD1ZmR3cRcKr5siazf0eo3SHMgnDoPCyOFhVGgDsEC/1Wp17jqm
CXCkE89IZoTEqrKadOVJxNhtwEMjWU6J4LYABq9JfDvZVXO21RZDOHL2Ad2oioGe4Vtx4ygyPSDL
DjdFUzmr2kVTZ8UFeT1RdEAPh6zXyC71XFFQlY4D0Tkd4Z1TQoKTnp+VtLiemjjayJx8mblUCg+7
wNntO+GncYo8Q1ZY6Oeq8I2wpMMbdWJbEF7GQ9jWrxQ5aqRYKPadNLR4NydB6ZHY+FFDdl6bU0Kg
KLRBTBmVyUaWRuwHence8Iy+xTluclth+ZVwxqyxL86W0jtsxjMoWrMTzIOqbj+SbL1LivD/sXde
y3Er2bb9InTAJNxrOVQVvaf0giAlEd4jYfLr7wB7d1ypxEvePs/nZUecOC2i4BK51ppzTI0KTnnH
op9v8sT+Dk/44X9rqf+fWsogDujTWuq8kkmXvJxKyt7/1T/FlEfwLn1NYjchgyxeIf7gP30z6izc
O4shyHOMf4bq/ymmKLPwIIIBp25a6h0gIP8UVCZ/cLEQQlDAc7pEB/w3BRUhL78bZqEdGRbJssDh
XEBjlHzL//83xFQyt6OsEqM92GXoQqZINeNWp69wwQeJOW0DvmZlk0f32mlueM98pj3MRRkiWU7C
Y9eaw9rNXeO80p0yQPjObJNMsGLlQeO891Cdbdgm2gk5bgyG4BJOVzCa5a+UHPXzKY7yR0E/CYUu
s6AILP1FpQsMQqXpDhs6FO3aiPR2DPpCU/uqKZw7yfj+C3bLSaubK0AevSlsLgPXFFvXn1cgnVGW
VUNdH6YW2xNKKuiiM3N8s++X8+J3/1Zuf9DSP2l2vx+PiRjyWzr6RGicVLDmEmCA9bk+vA8HCbB6
hchBFyvkGnx+pD9JMcu9hY5CLLi35LTiTj45MyUdQ6E5yg9jyCwamv+8wuxEO4akgbvBzMUi4w9v
Pz/oB6e34D3QivAweSQSnFxOne97URIryWaBgENN0sbsdDh3GznZuC7++6MtoUNIT5g1YY/582iR
741JWaT5wUCSlV2UbaF2k9Ma45VEVvH5sYylh/x/3dXv1xPPHQdhIPKBcRZEIfPsTE8OTTzl9P7i
sMs3TUP6o4dnZxWjUr6SrTTOxy4b9ip3ieVLOubjn/+Ov68wChcYfYL+9GI+P7mtudG5FOZWemhk
hll76uZu40QoLH2nZkr3+cH+foZsxKbIOj0ErkKcCmvaxkd/0TrpoTaUunmXffQab3Ad11l8YO9C
3qBbUht9cdyPTpKJEGZbx/FdRz9Zl7IoHZPIqdNDOTYDjj/u5mjJka9kgjzk83M8ORa2N/4+LSWd
RRU+x7u46Lc1UGD4w55OameC/H0DJYGORK2381nE4P/h82OdrLfvx7KREEMpcHVhnxLg0oJ5Qqvx
DKlZkVGIz6c45ok1GJvPj3OiFf73ccjpIdf5/XE1/3wxpEOpTJJGcgh1GuibaUw5KTGz+QkHy76L
6WT1MPXJ6V2ptk7DLU6f+AtK08mzs/wG1MosdItuDHP3yUxmwN1EAdDzGwbMVyTbNiaZrGSuQxwt
SLT1bJT51vzFev5+CX97TZfDwn/gxJmb8g1depS/f9KGyBkqFbrJIWZk89SmTnGkbzlfEj8SB61V
l5SJeEwRPwHjYY88ynlALVBOPw0nb9of9eAXxywsw3209MnCJOQ/KtVuPr9DH/1OG8KnD4TGJ2D7
r5GVbYWjcjVtj7TOecVAINo1XCafW5Q7o7MvtbR2V3Oque5Ww0l1gRYJMAnyk/AgAaqe+T3RxROt
v0tfczowqwPYrg0Rqe4QfP5b/35qPZ2riVEPWONih/7zktJLIHsBQdGh8HV8almEaHlddl2//fw4
f7+JGHC4ZQBIPf57+m1MNACKYEDR0jKVx7as8IuVGdgkuMr23efHOl3OeU4YbbtQWDx7iTE/nTpD
jrI7jKEs5xVS1MgLh42e13JNDHgGqZ5M4hrV6pkhJ/ebVpSkilZ2/8WFNfR3NtyfjysJfAAhfeyW
aChPOZg56ECTNyPcuxKN0sHNTRbT3p+s+hDRT77RAJu+vgtxEmaTLZbGOI0YemXQ3BxEZGckhodH
H1vrdT/4hE92TVrjg8x7OAMmFpOLPEYOFQOcvgVWHL4NCBwfvTlXFyqHfbjym9a5c5spO1J42mdD
q7PgdsVo3to0nO+cuNb3PWjh8xgdt9zodaLdo+NRNzMTM7nKy3i4Klq9f8lDsFE4fcOLTquRvftT
Gb4Vnmaj+y+aQq3KoQ73qjNEt0vdWEJidPGcrsj7IzutbEzxgm7b+FHi534YAWCTNx4OhbamCyre
8qEX46ZAnQyxzEvji8jizYbZGm2MdkheZcziXXURCd8V9sN1WbBtXOa7XrQeEz+SOz12REA3hs0Q
wOTup+eiyYLR7X4DXt56t5VBr3TF2x9lu6zyOTxgR+3GMzvWTr2T7jclQnszkXpy4S7/FqY7P4Oh
qdg2ydjBVUty7d6vrPmC70z+iG13vHq/vKEz9luzjPWb2mri7FjB3yDGzIgcCm29gK4S+YXcNipO
6y2aEFYrmghnJNqyQnnGpH3H3sgTSVKBoa/z3FB7+mRcuxmZNU4lXY/vxZSIJ4nkX1ubkV5eW5mJ
0zcV/J0R//eF09fRpiNKlV6CD1wkxAQbBb7yc/yq0C/u0siyHjwSIMwVXrfiWFhm8ppHhYlyqBIv
GBjohPHS0LQKydG6wbMw9es+a6drfWimqwRgf4w3wUi+AxJhaVJG/mjMFP9ba3kOi7EKj55MMU3P
sdcnGzUZbGCMolKkL8LRRrXUq4uIzAkEQpReM2OcQd0UtgZ9WxXsc2Tc1eRBcQLgutJRheuOB2yr
d3H9Eo+RvifHgqfXzsSEpyymfYwvDGKNXWn3Dshf7mMk5osIet4x82BLK7Kjp1ZMQJLwE/Spa+wZ
3lRbJvQYcLWqvYkIfD3oXluejdEo6J7lycYxO/2CvBZ1lI3u7GmhhvdR724rIbOXxkEaCDsFPxj9
l6tCuUGGaX8N82iic5Za3zyP164WRaBXc48NTFobtGxqbVLzrQ1mUDt/qoq1aEm/g8AjzEc/Ga5I
FZmPqeHv4rixdqOMqyPjOzhWmqTlWYw+IDtOK8+8dg3zOt/MQy9XZidCYD/iW+t21kVUJFft1CPD
HKxpcTCINR8ca0fu8QOKUnrnXW2e5TbBszKz6ZaWY5D59GczZcQrsCbEXTC/QaQb3wLyefVr86Um
dWCbaoVFQpMokZsO5kHTvefG6RB2DozI1/Pk8VWTtfm9sGAk4ZZaDWZySTNn3GTCuR+G8Kwq3ei5
r01FpMQ8HWMCkta1WPZIhTlfOollLYbT5sZI8u6oDQjjlHLO4cbNXr3Cc+wSuLIsIlH3q9Gzej8b
VYpXJxzCZjVHVno0ELsZq1CL3HNp5/ygKkfvshpmUz3YSli7acxDiTPY9M96GAhXbJREvBkd1ovM
1fOHtp6jB4z3492Mc2bpztTECdeDmi8yF28GPB13J7Le+4nFuj1MGJQOceMXHJRd9EUb6beePY63
7jjPoCWk3C7fH3JIsW7Fa/q1xXXXu2rt8qblB6EJtgJmVoXrdmYvki3KhKx0ujW9w4SlqARRIEK+
CLSU3X2dUvpInr9NwTZv5ytdBLB1BEO22iyuOr1/JAal2RhjMlyKRpEkH+WVBwbXyQQZGqlZnGk1
becyzezrJbdo5wDIferTaDyz5LTpk3A8ghcl9AYNh//dSqcOO0tpdovGu9XQzbXx0WrYt9Pz9mA+
EAJQr0iA6ykRco1I79bd4uh5LivP3ulFP3yTBKy99WLK6OeVholFzXafphFhaqDbCVnfckTHXUn2
YzA19zXTg8tJa5wbxqJEjFWImAEzunsqaH/vT4bZr2pDtr9qBNBbVL/zsektyAh04H1cXPmaWdU5
cNGSLUzpBtLN/Zs8bDBshlZoUfynsaBNAeVCSzS6D33uH7mp/t1kS4zCcQhHrQQK/GNSenfj9hpd
g6YEOlw15gaTz5Z0tJL49DCyg9HV8p3j9QMCkUQ8ZHNXXUc97JEiNNJDmDbmBVcw2YC7AvAfGsFg
2zzYRCtAbtLXpDma16SPgx5pXOvcj6JuxejavgvtxtgU3lgFOUm7u1x13ovsOSUWmmY9dGPCoAID
f8LYyvaCeImCRCOPhDUifOCx1CfrksFNdaWrkG0/CGUS3DqNbL450yoBjRqrHFId95udOTRxqiY6
mzTbqzYh7dLDTPbHr55y/LxHXXXTCw0lilX7Q7emY8o3Xfhjuy6rwb6kYq+DrHBdCgCjOubG3PN2
YRgc0yK/rlHnXHndNO2tpgM/nfjevmDIeBgJVWPiFXpnVTOFF6ksvUBEQ/GalY1Lzxdv+pOI7GZH
SBuKWbvA+1Sjzj1ozCm3dZq3j25Xfy/400SpVyKn76rMfN1hQn/Ra4Frij2mhvhFspcls7FfN3EJ
kiVV8swIZ9rVVbrljifbrDB/4KOCXiFrLIa2b5FqEUUz8xxZvbpGORwVuqSN5/MNbGKLPBt7DrGZ
Z/21oQ/da8rY9Zg27ynaod9mgA6HfydsY5xb8rZhCHlipYtyit9ijVCyPunQgUWiLymTeu2twVd4
MTHVvkxGWz5oUTi8ijbxvkXSh7+LO1PLN5OuPCYdNupvF4hLWZR7zRHz0TRTP4KhPTwxm0ou9axo
kA4POXqgBgE60QXGml1UdDmbs4svH5GsZTbhwa5gbfGr+gkEYqpfoADKN3k28s2ozHku1rmUjsPu
EmzAykibaW+EY380kJDLDf3uiuVsVtEdFn5zXk+2KZFlTHxGDLpDy0DcZ/XplHafwFjdkZbEfeOj
EFjQoY+1SuQPsokUFQY69lIruAqtl3wPiYxADscWB5NAbWIaMNtp7+hW+Mig03rRzFp7Mx05noek
l93bpUrXRsWfnWDJPhjEyq1MxnXfQ7KO2U7q/pqs4wc2xuG2Dx19FWfNrWM9RsQOrmbF8hrmIQ9V
8ajbpb7SPe3WHTBrpm6pmLF4O6E0Z9WW/bzGPAf+gs0JWAOoJHgbMaxSY9PTh/4AlOg1y824XDOz
dLDBIKibnWhvTpq5k874q1eWH1DLi3XTmv4uA6sNZdlhBFPgq2RetCpsuUOiwmgMScXGDXmc9XQC
42EXgVTGi1pwLHElvcCcG4KbizkPRJ9Mdw3zuTXxatFFWg5vGIusVaMKoi2GwTwmNHa3Hd2sY9LO
pKaSRLkyp2HmfW4x18e9/poxL11R4/PVYSN0FLISW2T5za4Y+45B8ZSeZ8YUZE7Ebp4N15qi2tn0
43Q1AtUidW5y9jbhY2u9YILRNfWGQJKYD0QVXk9GpwPVTeud13e/evz/21qrVGA4uKGKxv/eklS0
a2em6D3DzJWK8BOP3Y20tJfEETt8qaThSP+yLLpjoTXfxkJdySw89pXzgBzhgiWXhlGe9GdOq94g
tz1iQr0FFxCQYY2nIc1ffD0ZA5XRpCRO6ZWRf7dWbSQR/Bj2A/ww3KuV+Tr5BhsrLWKRj81D7pBf
hRttl8r6bIrdcUXw6o9iQGduFnS1V7ZGRRAh1nhCU/pjGvAbp9LcNW6ejOvZn6Mnve4WKFbrZUf8
UAOAo3mVVEhQDLUdmuR5gia1h2J2bjcPujfI+8Yj+S7ukjvXimKwXH62hrkknzWz9bbTOPT7gRrm
XMpW27dTurzms34EQOA+O50og4QEGW9DUGl7SBqH9uiYLuWE68dTUI0GW+ikzcRKGY467wdba3dx
Md3C7PN/6o47a0etzmnorDK/8/TAHMzROushTXVIJ+JhQqQCv2RdmU2WvhCh7ow0LoywP0SoO/F0
jFndruhqirQnECsHZNFFcbXK2A/toRy72mUvexcKpValzUpbTEWMWCk5M/wXrQS140VZ+EYsKi8g
R2XEYIcehQhhJoROEoNKWRTx2EuAy2FOn2mZacyVDL/JiAIh1BpqjMokCwzMzCUxM5TATThfaMKm
Sk5ciDBz4+iX8LOTYdv7M2WHdFmWRrDQ69JYqhMjmYZfqTLHq9SZjXPdwHljRC26/2wMv5HbR5M7
Qj59a3R2v3XslkokUoP+WlWjY18gVFtKXuS0JI/YdffUlANbh1xz9KA2rPbA3p4/rYF/JK2TAn1j
z5HauYZLfTU6/XcnL8xN0rL9Y4JZ4zJBR2UMmHzrKAXsWrUHE0sQqA8rPFqxTVOgo8j3pEuPYJnU
vB/v3Y43V05LyCrSV+qEAcWKKJ7f/ye+V5i3ukPZX7mpH4CyU3sIL/VLV/TUYFNr0iVAa3Y1KrY9
GsUmsx5VOqhjuJhJG9sr5GnN7r1RDKSAMcrE3BtZUIejMakRCyegfjSfn1jEY3Z0VF8GDtjSJ1wg
nECS8hdZR9RNR+Pl2k5y47mQOne9BEt7CAklO7Qwm6+zif0u1iR9rzKpLqZ6nhk765yXKOiF1zZl
XzMgy1szbG0CtmoLd1vmbou9KhyzVaLoitC8ZDGQSKtDvfU3lRjs5pARtV3w/OtKO/erqH6h+ZcE
epbSUfTUmd+2nYlu1UcHy7ejR0kdqWrXZ+MozoFV6pe2MdpnJCAzIVM2zatQMYdenjstwTk6pBgi
LdXnj3mbq5sYWR5lEhwkfl9ch2hmFySARpl1k8vlmuSIvsCJqhvu1XRZEVh7dGhSroWBaw+3VYlw
jVZchy0VHDlIKDIXcVRVqLUdwRPQC52/7Q/LH0SCdkeaigYuEGdUneNn613kMxPk7WcG3Vj2S9Ee
3n1TddVztQyIgfOaNJcZOLauITpofXvTjJr+HBu2SDdZnwFv6njuY43tteHSZ928N54MzQzflAH/
aUh5moAQMmEEd/VCK7G0NnzOhwdwrsa5j83kOGBdfwljuHlzGPPqaDGvMDhuZpNjHx7D2qheAJD3
BxTdiMHmbsh1qH55aNxSHHCGpenQ/gojFFOo9UcY8WVinlO3tE+9v1zeQs+zo6y4TENXmbdjhuHp
/YU1uyz+WZCZ8EL8M4eeZAc4vZ/DQ0/LtUDIo3UvisCpiHDbm77h3/ltkp2x+L5Ku8MiZCSUHn39
o9Q97HUM84JuaLHB9dwdEuF42SfeQLjAPh2LEtVOi+swqoBjWLTAL2poEt/Qxc32WjnKOMsj07gq
LSc82rnFL++pfOxNyXIY6Ch28b613GJ7eQrGmtYcQhdaCjYxDuvM66kJR1/ylLhKf430tH5hFKlV
a2axvNMIhMJNRXWKfJ710RdcqcjBu6YoCCA41Jyw3y/PYLvI6127Do9JBC6cfcCs9tpiq8UQQtkH
0mf45TnUyWsKjOmZIKTp+zR4TKE6NuQtrdQ62uJtNPky1mlzbnRDeRmPvbxP9NH7WQ8ifEuqyT8O
dpyjihr5MolkBOxguzMe3ZInYNHifUsd2y6RNlotmrSKBvcmr5Pqn7Ca/3UHfeEOIiFlcZb9v+1B
u5x68ecfmvF//s1/ZA76v/gTOl1NzP6Ilj102//IHDz3XyADnIVDb77Lt2n6/0fmYKAZB8HjW/wA
ZsCLOuE/MgfxL7bsEHuBm6LMxuj438gcTm10vkOrZlE52HhnLN04mYZFZKYor64kICtJCZbT0qK9
Zsb+uZAWb5Nrt+U5QYkAZ9/Xxd+u1dcTf3vBEizMhGWwwWzqtMPfNJHyBzWh95LmsGV462yNxKQ/
5ybF/n9wKDhBeJeYMPJW/zmoaa10MAyo7ajl8JzkpjEig47rLcVV88WE8WRW835WXEqf4DBjITyc
jKGVAYZrFqIP8mmCdGbRW2r7HvH25MovAkNOhpn/PhTnJFjbUGicTvkn+pgZYeR9wMIKWH42b8pW
Om/T4GwipLJrIli0VRMiP6916q3PL+nJ7Oufgy+gX55iaJ8n59lPMUnedd8HNEccit2JuEVDNOef
H+Xvq2lDdTIRFyBGATx+cpSOkHqUrqEMWl9AohXvcQ321LjDFgQZDJjPD3cymuWkbOZe2DstZtE6
yVp/PiegiEwrNhC6w1ggGzxrf6EkefOIvWBjU5zRCKu/GLL/fRkREcD3xu1pAFU+HSGGMeZnz6pk
gDmIzwUdUW6WX20/P6/lMv02THs/r8XNAvsfiQZDiz/PS8jQKLMmk4FFhvzK0rRzTKRXs0FffdIL
+4tz+ugq/n60k5tGAFXUkD8tA28YafIyS6dNxT4gzWogCD5u4Sx7/fwEzRMDzPsZwoF1bAu/JQ/k
yVI2x5njsdHsA4Np1pWgvfVIdimmOWCpe4lafCMb+hSzxwRQdD8dMqKOtW3tZdRWwUDi+VZOIHba
0a1/TBOZxzTt/ZVJ3M+dQp6TE/8EjLRRXyxMxgf330LutuiCPLocp0+c10X4b3peo2SUAikCYe8u
CBZ72GoaXXjoFoizvWrcwLest2Y+ie+6ovKRhldfgjSz1lEd+VfQy6Iv3gX7w5/G+ry84Qj0TjVw
qZ87mbLzPliiVM2QqE0KmWndeA6b6ibqHqbEIm58dPwcQKEqj1OZtuQ1FaQGFRNewEEv0ZwvpTB8
zJVl1OEmJE+TDWmEiESaLYR4pR0ULvpNM/T9ZmRTBV+i9R/lmAD8HLxw7VvgI1uhuTtItIwhLQp7
SFlH5mvkd2u5XPc4cVZTbp/FInuQtNgvMzGzESZQb9fiQwX50F+xOVL7JgFWNgs4BRM9rHM9nvUn
jX5BkJaZhip4fstm67b3+mxF9nq27524v+Ivl7vPn9a/XxDPttkY8NYjyPgrVnRiGivZvHPTu/iS
ORdtQU8/UEffSxWiKZbMRv4HR7QXpSW6ymW9+XMBoA87eL7K+qBFJWF0Ygsx7IdfivPWKsU6853n
z4/397oNlI/VBqGS77P1OVFGdJE/kEgo+4DIcza56L0PUTVaxBy28+bzQ/39mKLBooQh0o48Rejy
f55aJBHyjEPFV9AbKC+1xkAmId0vLuCHRxEk5VDGY/5zTy5goYdaAXCYz53T6u2qcX1tD4/Mu/78
ZIy/17FFUWYYHrtFA4LUyXGyRKPXVGObniYD7qfRpTtnKiLiKEoMCPDs2FLw4AMniI6t99SaUVCJ
LPlqWbL++mCgjYSBSCKTjelRnNy/hvmASga3C8SUu9sRudsuHNN+J7D3eOBTlMAwMPnbVq9+vdNL
qRlHXGb6cFEoZR1t5nNf3AHzw9/kuqRzeMh7Ueef3GhB8nQYW11QRrI8EMaz9XVcearsm8uwQ6ES
u7L+ltu8ynmjzVeyTuYl/wSbooc7zS3zX7kxDZdMDJmRjt9linUMdnJ9N5f44mqMS3sCiMZjOeeX
mt5/tbn4+AR8pMUWW3re/+Xe/yaoCw2C7Gdv5KJilYlat97JUUQPMavYum7cdBN2tOsK1+n5YrXF
kUC7Fy9x75Gs+QcmLeF6QpRL4Vj5NyglKqL31C8FavFoeRBixjqa8Vsxd7FwKuzA7tZffBJOtUF8
ZXksfjuDk6dz7HN+cDVj6tfSCPWXXx57Rr6bVNMZhLYs8hKbf5rqB6uiRu4Y5n/xFFgfPgWokgAb
oFFyT193j1z3cbZlF6Ra3OMlyj37lW3VtSs6ML++/rOiG/SESzb+QeB2L4donVYmxngrpp0UdTtT
76pN6wgX/LgxEqNg4heLOWAAUGAxV0TGr7k0DJZKl7ZytrX1tNo4mv8E76/dG4Otn2twKBd0+Asg
qztn5kCReOeD+p39xTX/e+vmOVSDi1oQPSbV0p8PDZQINwshbQUNFrsyDNwhzTeaIiUBNpD1xT7x
g2UbQaJN5Ul4E3vFkzqpyzNUFiw6QR2Vb36CmdQy4AyISflfHGn5S3/uSDktkLFEVSJQ1k839k2I
iMuFwh7MbXSfGVb0lOYKm1hBgi0DuyzPV7qjecfQQWDx+Rr7wdcXYSuuawuN/0Li+/OK9hGSrzDF
GiPd+VvYe9eT29zqtFxQJr9S8jpffKDe955/nSu+V88gndNGAP7nAf1B6yZEal1AGV7eSot9zxwi
C0EhtrYG9UsPi/sqwTEbzTWbG4HiHWVou9HZrXx+6h8+TLYj+LJYCKVPP8uJZIYRD7y/o1f1SNZc
oBgxY34tqZihxenb54f74KPp6OwcCc+m9qbI//PEHT/NogLJRDDPLQixmjgPxZjrixrxw+uLKVDw
JHF53933v6+raWdElSHqLqBGbtd4kuPNUKakdoUeZjGyiNfRICQxkQ1UipDADroB+XYatDOkMl+u
kR+9Q+xHOF12zkSyntztHtmhaZV6G8yGiF9rF1bEamyj/qpLDLtYjU7FiLiSy7hCm0HCAfRHzrCh
HYn7FJgxAqlRm8eLIbYAQpl9j7HpPQLk83vzwc9ku2Tjtli6P3+9gDW4uL72RBPYZtLeYMFydtXs
hmdp2798fqS/2xQYeaiTaVPg67FPV7BxljYc9ozbM0CuiiPSR7pWXcC8p3FM0vy6pvUbxG6P9CiT
+hcLzQfnuai9kXujajXcd7nxbx/dWPMIACb2OHCwyqMEUsNWdAwNqRqS//5QwECFy9Wk4eeddpmS
1OjqpnWZqqiweBPWTCxNGdN1ZpTV/fz8on6wiHH7aIuwRcTtcFo3AiSI0kpy+xLwOpsQrs8d7GZz
y9dNrfSpECtief9LW8ny+ccT7NBqMRzGE/7J+xwhn+z92G6C2VxIjUtvPUkZvrW4W75YqZD5/v2F
YKehLzpw1wOEePIeeZmoZKQMbpxodVQtDLJa0NdiRHFUhCUxfsybNoRm9vm6sYZR21E5ymmrJheb
IpJdHqXEosd4CLs5fzRr4p2w32JXZ75Dys+qD5v4pQJZfJFZnt3Bcsyxk3elQQRSySlZa9epCITy
B3s0diMy5fnM1pZEDhRbClFjC78/ymLj3pGmMja5QNGxS41icraWX8fmsw+OoPjlpDRLEMRRwcTM
xcma3zAkaeOHLq+M+ZATsWkHcWIUYqvptXEs1DRpAVSLobu0CwhqF6KXc3jjdEZe7vi/tRGZQdtl
MC6FT+pFmQ0iuvDcEmoG0TJVupMo5e4G5sWgE0qt2hstkcnI/VqzXflx8lhgMBCMc0SVHtxojCBU
yqrKdnOWzAhj6rlsz1MUOVDU4EOMmDo7RuubabBnpC7DHOpnhdaFOn2HojY3dQFjZAXo3DNf3I7A
HGgK/YQxGNf1HT43zYUA3qXz9UiMxV2ZiLbfzlrju7c6Fu9oi9MgkuQOxtOu8SY/geiHyWUl6kip
NbN0PygBUVTbnPQPBuWaiaSx6WzvgfAdolLyorLWnYgRhKR1TSiTJ2/o8+7kYNdPYW3mzzkBOrd9
6aBdgaa+1+YU7W3j44aad2XTkfLklrchpuBBxNE2U8SQmAK7bEaOyS6Sw9Ea5hEcQPeSZo5Y2Uze
NzKdrB0JWz+FpY2EVczw9UTrBgzo9a0vEicQviI0ZkQXmoKkOutEPb26PaR2IWdYju7wohpyJpGc
AuSYyERJ8kdgMltHc5pr2y/araGXyTX5ZWotddJpvCKPLywwIwHVQoJFPnyclGUHtmbcMEBG8zpP
4SH0Rbae0kyyqQCalPON2nSdu8xJp0PTkztCuJHNf7IlBgtkp2iP2USShNKzZjv1bb5K45CJmZsV
Z6MFDoQ7ex164rbQ4mlrjF68g2uo0AH3chOSahsotq63YZTX38FS6udljGeSuHsic/W+fXM08h20
fqg3Hg1rJm2VfWhzH2480t8DaUvmoZtduE/TcISytEvs2gCUPjN4lc1zmeABsMVdIudnm0Cy7YhM
G9BY+Fw4WtTyBhbeYZBuuRu0JtyAAL7PfI8Zc2ihSMaCvNWZLHMfGvTcqa82MXXDbdJqw3UTIW/v
5MRX2erOmWu6GLYVrHOt/NU1uLA9q0/25EIW+xIUwZvoUA7PCRQb8JNYx9W8llVTKovS3NTbKNxW
id/fZ5VHfLbJw/NUQHibNi5SxYxPOYtEGsnxG8Cw7LIhdZX2CFpgLzMOuiTIU6v6CtaWQuIHynE7
8UJsQ9u05+7cm5FZd9/mGL0ywl0zFCNK385sv2mkh+lphORWM/nNgauZ1Y/JBWa+t5BXSUSRLeEx
c4Uj8lzTHIa0meuhxCLqyNaOtGf1jiZtk+zbliu16rMyJz+9GO7fs+dMAtXvw6LMksOYAt63UTmR
GEt+EFzpUa0msqZwUXT6q6OH7Cfp7yLVV3p+VvPp+9ETF+SA7oxIIRntxAL61jl3Aq3Bm09zX2Li
dwqK74UMrWZvemD+Xry1dcvwfy4643sJo25DiWZf+cxLvyV+OaLX6eagZ790780i/TZ0/J0ZwMa2
6s3miCedgNapFAdTWN0TXbiF3gb4CMiZ5EmAato8x5HX/GhqgaUB5eyz22BGT9uwzw8WKUa7ZNa7
J7tqgNi71ThunNAmqU2qjpcjNzV7nekwciPHsdcp272DbBBeu7SQt1SlfrvLqJuKfcGwl0jZJBoe
m3CM1NYjUwjDerTQI/H0QqwtUJoe6hJZN8+gNh4jP43vcD7kZMgi8NkRv1Nrj7A3OUW3zvz4LDIV
P9XJhsfBnOR4gcUxukq8BmkDU/iLCj7zuYgFf9Wqk0DoiQOxw7TViu1dg0Iijq9QixGWx2ByS+PM
vopaXtVtWS3KETllu7GaEOGT8Btd5Xk9uKBTYvuKl6jhpeLu0oRvjlnhiytUffVrO0TtjVCog7uE
652k2RyQwDwHiMKSvdaK+Uzj0byp7bZ+RTxbooN1VD0QPkz4DFc22dtTwZ/VULYYrWiONSDuczV0
9Ws/1+0zwckmeDi3+QEFA5YKoaxc1qYswmNENyKQ4Hh++mNnXwnVaCM5iH50NSU2QYqjg/jpp0ot
gUy8Rp0lcIqNqFnPDT7L9Wb0MQ1poMob4GsxcR2elCGk3Eo37mtjtq8SuwofasBGmCVk9d2JoFr3
MoY4YGoqRK/vsbWzJXTcqPea49zq4SbS5HDWFpw8juDpwcOw9r2MFjjLAuKudS26koDusMZ6Nvt/
tBFMLCy07S0Z2LgSfJo4GwIscCdBdkqwJgKIjqKRzOlU1ZBdFe85bayye5oR1r550Ex+Ejts46yY
8fy2qI9X+IhqyczFtO+SIh4eBfwmdz1W/MjcJonR69v6xSLo+E4jZjBf1eUYX81OURKoIcr2OW/U
dO05nXzU6ym7TZbbTYyWd24jYLttxMCBMm3e4cWFH8EmI74SHVcNC9J8rUfa/KYrEs20SaBQoGkf
3powZg8NBIpzxxr5i5XKyBHUpwdfZyKD2RuaoGppiW8JW57fXIK/SqQh/4e98+pxHTuz9l8Z+J4N
5vABvlGWqqSqUuVzQ1QkN/NmJn/9PFvd/nz62HDD9wN4AMNzKkniDutd61nYXxboLQ0oLVcboE1o
JYR2XMnEmITmhmc75oKxqLpGTvu8710CGR2fpFmTNUuva/NJY82Kb7I0KY1lbgDm0awEEbcnUIOU
2vhxv3et0gcx1rTfpa9xY+v1PFnKfJDfWO+MJzuqhlU/NMYXmPeuW/LoyTtWi/m7NFWsjJJQTNN1
4nRfpt/NDu8ZqEutqnhZXHbyZqtjKq4XLkfeB1zXoDVandXMc/svMD3yrg0LBRMxq1PbT9XrmIRE
Olo/ugldKbZtgLlENL61Zx0L6jUBFWtf0AryLME86nf0VDWs8VBgnH05lbx4tPIcuROHm6oLa9UV
anropi12PRla/g/c8e0pzKto22dZv7PdnLeGbfPagv1N7YUXiVuK7atNBSGfhEcfLhRlt6X9HOBa
VVWrsK+sdyeInI1dZTORFHrETGuEOdlb7tbg9Vow0bSxQdU8h62VT2cjxw7OIQTzKVUxT2YWEbPR
yntAaMeeihRmkbrgLlPXq6ELkpNE/9G7uKear6r5sal7ow+5cYq9nHXDmhmv60I7jhQD3NBIH967
oVmqrtMuYtElWGcUDBsl7tW9I9pDP+EdpBG5P+oRntAi8goI48W04KjPETBg/IeE+hZQ97FPqWY/
p2VvffaUlUihGyxpWKZnq5HrwjVAgrf21Tgm9jPnbX0x6SNNg4OaM5U0zKAs72VYAg2Dls0JLymn
Z8JN0Vkv4gFSTLVzy0yugkEjFSLA8PvD/Ib+l7+SC5g99hxeJFOzIxZ6bjhLb5rg3SRp2uxTDa9y
H1LKleY2xOyuY/BldBWppWGAvZPqWytJmvtO4sK2hiA6dw0/pHNC77YjsbpAmJ4W3PTtt0AE7pPb
tNlOCO9pTHRM030Ucw7kKLfIFf+yFEN8FD7CDW2J+xDa6nush8Om9zV928LXXvmCmNZwiSPijF4M
KVJhNE3uFYcL+zmxnW3hjCW5loQFuEy4nUYuoM2ABpTvPu3M57GyjVOQBzOuhdx+gPSWLEfOsCp7
41zlwASewHR4d1PPu+T0zSg3HufCRd3W0Toax+prZtRkLquoFThY+RiIAp45fNiiYlmrKO4kBkUT
IJzrJQOERTBDOuo8lwO9HSVv1ANBmh+KXZvKLFk4tgaDNRnvZt18bgVOax7FDU3BcO6Z6nEg87pT
bjvhY5aWHDPsfpOyBFKjQXTv7Ov1vEpzy79qJviroR6vY4eGudSqnZu8cspyGQ+BwdAim/fTVPZH
lxrSgjOalvLAAVesojGBiGdhA5bJTOKvrikrXmRawmPEDK0nstMmL7Rsu1vHQIBHWivZseYKoaET
2ngbhJa8nhCzVe9AL9IFrIn0EAxCPzseYNzEG3dhT+LCb9Jjxrt81RSDx6pfZgxHB6I8Q9Neo/uS
PmqSHSnL4IWg1oJ7Dt3RRbfMY2deSkqQlnj+YxWaa42XccIfWZreuzG7X2Fdyh+cWLMfcBpLFq1G
e/QyR9tYVMGtW6/L7yaXEwvZJ4OhNwSfZURNJt0L+rjr6dISB80CObbqQRh5Ow8KGnuM7ZY32hDR
elVMtOsiquCoM/2E1qsuy1iEQCUlP/I8Ke5M6ed3rkBHBtfIAprgrvvMGlN/L2hs/ZQhGaGlqfEN
JS6Ag1Mn5T2BQn94qTnx8L4JLjk5kBB2Cc219lnls6MEY/XKbolyN2cGELYIQXJfUqb5wPmYmync
CfsQpWRoc7Ibn03XICI0U5d/p9QGU6M7t+EPvUmM9zSmM2hRkui7bUjz/DBTmI9LOxT091Zz2HyS
DqY6lNAgdctz6hT3mRxZGJp4VF3GUduXGzsYUDQ6nPVA8MgyUJ9QZOV97BJR5IxZhj8cw+FrgmrM
6hW+5ZQwT6HzMSqsqU1XfcNvuU5gUfurApcW9mmiFzm4QbtorsTstNwb9aI3YsyUxNc2HF75zrPm
j+XeHhA/V7EdTNpWm9QRoGVCGi64TAXXSUxyZ+XWOYfWLKSFbaHNbHXLbOxCOKI9WZCoE6qLJHLy
b7Pr+KmdtCYIvrYV/Pj9xXR6LeoWFuNJ2g4arMeYfalCXXCfKLdW4FAxTJQStOZFFKDNq7h38I8V
2wyz9JNyFggumOlIU5mBCnRD6+ZobFpndq4mAA/3Dni1ireQeSu4QMnfl3oOekhdYWm+anAx9EBL
MX4cqYXov3sXZXbRmU5FZFgz4od06s1t0RXFMx1e3l3qYchcVpWvPwxx1Uy7ERk+vLE7/uid2et8
PDiV81uD1+PNc6ex0Jj/lWRKeU94dtH+42mFLsOr2Gst/34mRPgpuL0IeISciLH2Nl8iaZJsG3S1
ZIARABzGgS1oVMt0np/FwNs57wr0PyqBFQSOzyEnOie2YYbgAkdEqZmtEHKSwql51GEO8rUa+xeM
Ul31xVHjk1MtOs7ZTdyTuJPqCJl5BSHCDG/go5HQkweoTj8wk653oMXocYF8QBNAKp7mOR4eB+Ck
v4/B/s+D+lceVBN/30/S8Oqtffuf3wuuTm/519//tv0q60ggyf/+P+4///434/ev+acHVfHfA0xG
FzSxxbzrHx5U5zcXPxiPNh4f5Vfk//UPDyo6+h+eU0v/DcODjdcUixKOAPO/spzqv4wDuPJQhsU3
05GQUa9dJdj/JMgHZln4YelnO8uPXgcqbhdtwzrEkPCFGsT7utd2hdJ9/Nx44UhjbDpv2tB8cWiV
RsSp3txbNAjvG6UgFUQK9ni6s2096RQAKqUJ3EP9PYW4IEulQ5VKkdKUNsVIWT9rF71KKVdWhq4G
UlhsQq0Y113knSHe+7fDLMCot/lVMZBLQjNQV0ZJy7dmmqtJqWWIWmRT85upMSkDVIpagrRWK43N
ISC/Kr3BWxrT0D2YgkRSpFQ5UAMomgh1g1LsmjZ6du2cijql5nlK12uVwpcorU9Xqp/hNogtSgnk
KL+2kQY7JMJOaYUkchA5kQ/LzqBNCu17VSttUSiVMVV6o6WUxyqTHBGUGlkrXXJQCuVgo5JkiJat
Ui9tpWMKpWhyqHkzOUEqme7ATpFvIKoPXDfRqIiiUC2PODoolTRHLm2RTVFZbkKlo3YaOcfKQpMb
vdI4E33PXlqlvOLL2eTBcAfEPj+nuF6uRebX3SJhog0EoMuOdWVFw9r0e1YZyn5fOm6Mdwzq6X1q
tHZpWQXH4Crq63tpQYikJsO5stOJPU3LnXoXta5k1anEqS6z4QVgMzKA4wZPY26l5NDLDuGmRPWK
gVesaUfmjoNf4M4byLkUmcVBIjN7Z9dafvXqiYQdKvFIQBEnp0MrQ+nXzcw42cVlxzcyBHKCDvU1
YhEZEWEZvHiQRYjzdegHjVkVh7oJqfedS704SG3mlCr9wgMZTUhUWxhlTtgUZe9qYuCxMQcv+eGZ
nC9WYxgVawZx4VNisoVDIsvXYy7KeyMtKfclanJlqx2A427yo6pCdoTAAEKrmI/GJk+0cd0qvurk
9LRItaS4yd7Z4xpgKu/fkNc7qx2YrhPimla19O03qVvZ04TM9V53nrXXLKtT2dOWV7Uu+TcqvMYL
qC0RpgXMEiwKD2hFmPxaviWeCYU8KaLp1oz4aDodDWI7Eh/88XKKprNHNxzBErgcZ/zjnDBLx02X
1sT7UPkZ35Big1ius1qQr+7zaTW2efUa8/xthct8DQskN95whBO28GIyQRU51dNEs9qnkHO/NTqr
+nJG7pNhV1Y3l98swZ3rb+BQ8u0z0/TuII0jETi14y7JYPp39qikMa3NvzN1UCucontoEntYkjdh
JivUH365qDKxbB+9MecfZqoW0+lZRFbYdCeC4Q12wcFOflw+aZRX8NNm7G7k4CbuK2KEhevbQXkz
VAHnHA5naJwILE8c18znoVBzjDa3vbvaiew9qbzxbHCmW9U1txIz6jx7BzqBVQ8IwIE2L941k1am
DQTn9rP1YnEq9NK9ga44XcnQMM8h0O/zILV8HfOJhJccOOGPwEQnG5w8Rl4KR75R7/MTabJPN1kU
a/fljOtxdjn1yojbWEk1AgB03i343OW9iCZgvw2wp5awf+8vS1XTPKnCZkMqcAY1Z/Q4E24lmzUw
xvWykU89me8FM6BXH8lvaV6KoJP51BTxqZfTLTiMh15yVu+d8kchULRydwLOezTbjnt9dBsr8HLW
xrs8qb8daqjJ4KOeciIGfHgeG4vbQ7xt3fkpqmmvdvSR6mgEfsRjkPaNRpZmKpe+ar1u2cdgfChf
tSEM98zp57FRPdluzxpOkDhauR4t2oaH+xGu6EnQuDuMCa2j5cFSzdtGSwe3MZrJxi8jpjWD6ul2
y5TCNRJj66lKEVWY9u561ezdXkq+Neq+C6DhYIu+CBWWV1I1ghOfJx2vWsKx2X7U1IYXvnPHNpkt
KdS1OJfSLU6G9qXR/I9JtY6TIcw38NVb3DB0koMQmVZcnLlGmjVpqcp1y/uOiB6YdRrNc6rNTdVx
rqbskGnH+yLpqkPgpQgBNKKTVeQNVi3po+zCRaKa01PXeHQnDu0cWvepalfXfdPaDapxXfe7aj2q
FnadOnZGcNWGDuBXqdPUPhalfj2ltLfXfPCZXrj6yiGipRu5XFLKtuiM6duaqnOlWuCFiQZmDzTD
e4h2K4Oy+BZD49sEtHzNs94shEWnPIl/BhCqZ94OQlsu+nlmPVA99FEyWxxegWMtZ9SlILyXlNbH
qr1eL/zpxDB1IMRxqbcHXwz1t1Ct95BWiuvScE/g+NM7Plakld3QuLXmyV4PZlfQ09tpyS4t0mpl
N1pP259ZfTUO/WtzbkLyLFOy3tVbRyvOSvpNsEqM/kUHlAADgd0+4C6BEbT7IJrxCt9gq08yfByM
Cm+9lfYLB31zWdpMlmvbeQxxPy9dHkNuVkX04ifsw0VjrVpMBNeDz4WYQ4L/CYa0P3vcsWBiSHWG
oD6IiaI7HYj5DSiSJo31OFmSx8TruDQD5f9qILB/oZdlBxqEPdVYSYSt15AkXHvYpA1fG+UW2UTS
l16YlHeWzTgqiiUnK0v5UqraP1V9Nfwo9Cn7AWbXOrktWRGHE9aipm16lfEUsZK3AvUYHAS9B8zb
goU7JtF1z6jEODRmaIyLuJmpBQ2kCuRLkAZol0+tO2o3rlEDDrcQTHkTSwgedaSt+zTprvFa2Xxi
CgrOSulUAIjngW1w7MoTeALvYDPnX4fSyenclOFTgFeTcOIskjXAm4Iyi6AgIA0vb89JId0aeinX
YqTBmV4D8vhxPX4XlBreGHnUPg61GHZV7MlnV7aMZVkLV1wLudt6A5Fdu4Jv4c37NOcUhoqsHXSS
osvKMOWuxKe2rOo2YdYzhcy9DJ9fK8MGYWfvXkONQVMTLwULoh/rEExRZpX1VkKBXnZDGi45MxxH
pvIYWLeRGXEP9ufXpK7LagV9gAH2IOvlbFA6IOIm24BlaZew1+ztXJLgFTENZ4y0FuDeIRJlTX87
g5RdpH3ZsHP1/s00MO2XSTMwr0y1V6sNTlSpNl+DJziAuFO7CSo32nQZ7HXNknRt1EKsaKTgEcdU
r2YYZ3bQ8gb8FyMDBWJv9MGh0WDcjsMIHcua7yfX8k6jMGkG9f1ki0Ny63LFXGYGJO++jL4ARNKf
zZbXyzJb9yLp1qM+wlDojYYC9Sbc02h5LSJ5hhbmAGvwk/00u+NVmOBeZbShxamxRtY9Bymrq3Hl
dXQnqpwP9dYKmDIkNES4ZPh5hJuBWoRmoANjQYQ1YkuIpM5tN9AjMBzekE0joCFmLNdANlDmkyhP
HShOSb8a/cpE5uvSMclI/3ZducpdgfcKYFw8fcSpzyRi4Vphae5UWwV36TuNVoAN+VQl+XTDfejN
89qY5uYUJU5JT5ZjHxEWXuRsifVcuWcRlNoymVvaoJharjLK3G+kVznvjQoNJ2YxvxuN0R6H3NNA
x/dfdTQxjHPMHsBwb6kcqX2wofirq3tzi9BjXiO4yLOKxq7NEMl10rwfRN1C6FZd8ja00cQ0pLbp
fQ3JkGvCXUQJ0fRUNtRx9GJchugLbJUVhe+tTW7bDx4CrR0VFOxqtjhoIwt8eiY1VLbM65NrpMus
tD9i+kPR5EVwIHXvFuvEUIf+CAnlXUcs/PRSJ7kehqLhHN/YO8sVDPeT4F4nVKMvJGcZjVl5m+6J
0VKXN8/2dG0zfb8jTzs/Z0Tlj02cf3ABjfJ1aUrYSEOrNJoiLFeiiD9knrPrazL/9HpXrVlh2246
qCWb2tDrV44v7tpk8nBuaVtYcgY6WyJxbqgXBQ1kUA510O1Arrxp5knriuHJ7QDIy4omzTnrfQIn
UwsnH4gOIWPfit8xhOjRIkzEuMmNmK1AD2omTlwNS84BWeB/+pHOwtFHjnFm1uA/t3i5X4GjF+9z
zBAWed6yNZZ8D/xQpw/FA5zIcu2owX6oRvwNC+PaN+a9UOP/ShkBSKWnJ6HMAYayCbgXx4BTxGAe
6DMvkTlLPkIRh5Lk4i4olNEA0U6ZDigZu3gQOD0rS8L4u0HBUmYFVKL+O1YGBk9ZGWplahhxN6TK
5tAowwOq+nVag1yvIswQkBP720gZJCxllUiVaWJW9glHGSlqZalIlLmCX+yRix+p44BSFi3BgpFd
3BgXKeP/VJ+/UH1MA6/df1J9jpRFq/9UlfhZ+fnj6/6h/Pi/GbpNrJBwqIXW+zNk3fiNrBnaqYn8
8m8lHwPbHdkdE5oa/VT/VT3VL15vOyAug6PcwH+p8KW/OvlAo/lx28fRnv69+ajnNRtFwuhrYWcB
mq8exfXH2PXyozJgA/z0svybkDEc1j/7CPnpl8gCjYt0odv6r35cwSZIIUiT7nM6D47EuuaNZjao
93ANYAW0oDJa6RjQ2YwWJd2QE8CXvlRHSLucHml+4nJfRg0WvjJ1MR4EBh0byzQ0YSkKXCBgYHj6
q7Se2UMS0c1XofCmbl3ADFxbPM5HwmT6jt+Sac4E+ic99XHRf3mJ8r8wwJ03NZ6UhlJ0yz2TXPF4
5mEikmdk5uDx+9LsN2H8t8MDgD1eN6C8BcdwNVmH58AYP4CfARufFuROs/YT9jJj4ca2VlR0hzJH
r++NcO60gz/GbCkTGELvs4+syN0MAX6hJ70PI7HOu2iE+JPGmvMa68HEuS8YgjbGjWSlPp1SuayG
W2nS+ARczx+iE1VTMUagdDKiM5hJdwNJIpfA0qJc9zdmg+F3BYvEcvaGrf5lZEDhfRnrtIJuInX2
KC0VzoJuyhpFCII30NLBB4RI1tI1UBYWuUuJtYvZI3rPIU3c9N5Ugs2fM5Yvb5I0pUTSf8G20mrk
j4dxzR0Ggp07c7wGkkdRef1BiVN/8nws/9h2ImuXuZZxNwuqbocw7Jn43MHBzbY59cRHo/FpC6ax
ve5BAfaZK3FyDBtpywqSWWrygYEOtQAiWy6xb4d3PUr+Y1o56QtxwpTe4SJeWlhFIJalzhfCYnL2
G7ZZGYxyBZUMTiUO031Lq+1r4jQpqlrMRufVxR5vE3egMNuZhpGd4yxJ7zhhc9D1gDOCkpBbzRjc
Q1MW+zGYHryi7vEWB0HzTj1MeM7T2OPeZIl9GoGs1AckTPiMzVrFcJbxLLLHssdWJZlebKOxDD5c
eqqzBTWFyS0qlHyLesMxGJRO+imYfDwubWJorPWuMmPpymcAZnSLFjo/WWb2kGiV+coNHMIRbskP
QSz3yfVV6RA+mw0JS3uPOY9CZDnm+9oavsIQKN88cswLQLJPC9aE9q2ewWTOgmRNPNiLtBquMGE6
uDU4CpOOsPIFFPdyV0d2ui/hoh+ZqxuvIwOvE9f3AYv8APskSbM9HN5giae1eWhI/N5Y3AJ2qZVb
cF6n8UQ/k+r1rpy7qoqNU9dXyYvE8/PKO8qZaOysK9rWsh0THcw1s519MFGm1577igcIzJpvgXb3
13nL3BJkj9EvOFF55ylpc+hrmsWyYo3i6E+1dceMkPKggUdil411qDEcFuJQuJF10/ldc91TIfo8
NvrYL6xp0Gls7wUgpFQ+dCnnSyHc6oA8Way1UQSvjAmTp7p326vWKWHUjJ2XHEgBzxBo8zi/dXSA
19VMVUs7YwbX2aE3pFqdb6ev5db23Ol5TEzsagE0yrTK960THjO9LFa4a3SYKEy1jSLam0EFOU2f
VMn2okrt7pPjEu2qGAJ3OtLjonCodjGglWzR7byNGdMWNI+ufEeB6a50GJebzAYU6Bb2cJeUjjxx
mp52Zc2IKJyG6YVOjfnDCY3+jhckvBnLChaYNxnQ/4Z8xXPSgjUdk92Q2ckWJKErF3lXpo+VqLMt
bztPiwYGBW2j+rSwMm7xKY60F4a6tR7d0eYwXLe3ngHckULPCT3X7OMFRGvzewZroZEpCnFw6nhV
AhOH15j2xzjMb6ueO5NZmtELhMwMO2sgN6M1oQzok9CPXA8gZcLzOWlQV++msQe2T7tbcF2WBsO4
bLzJOLhmtHzxWemQXlezrVga0P/GvUiN6ID1gfumj6GaF6M4dtToBZ7FUlNkxZXmOsnBlLZBlix3
qGFqNQi+3Nw+4mQYodZoPtzKrkmSHa0G8j11Pe5WDPXZS2jekqX5I+nAqWWNgzXYFuLBqJPmHHmt
dzLbiRLdTs5UcFHP/dgUkOFGx1Own0p7w06ms6MZwzkTIC1JDTTedTEM0yeU32QCCCqdXVE4w0GL
8n5LQrE/9W0Nnjkzi40vpHwaHKe5HRXgEdDxDGJgjO/Y2apXV9Eg/bbwvieBS3/htg3XtSD6HLh7
MdKYgwV2QuyGfnc1jQ13QoObr1aqC1ugUJS+AR0Bg1bWv9GFYmTYrgYL4/+sgZ2LbfkUKrRlqSCX
/oV36Sj0ZWEbckMNunz2o8J113YZ5e9WFPnbQoEzO4XQ7P0CS7DCasbwNRkgmXgfTPY3ZpxtdgIN
FdwkcNyOqQGds/Ob8iBLrT2GLWp9YqfOacgwXGl90T3jr3bRHhXqs7EV9rNRBNAqavzrWVFBdavL
ukXQCbbrQGFDs6HVHuLYcV+lKFl6LnxROo1gjbJoVy6XJBCkEArKGy8trJPQw4JlCekeNjOwOfrr
/a13YZlyEYZrCrhKYmyLKXRm3PGWKgCqLqw3u2vKoxYVzr2vOKl47azrAbcVy+Bk3k6SGrMoLI7q
DTzIzMLe1GJtmwqxChSHtfPbZB9Rnbuo46K8LSPTevR8yK2jYriSEVYimAK7ApdZ+y6bY0bZ1kor
YbRPsyLBInF/0N2Mkmm01bzqhj64x6NBM7RsTMDjeEadC1w2h+t1m16Qs2Y/Qp9VHFrw3OVy0K1r
/wKpxaOmH6VuAO5yx0PQmv7aEJr8ijvBbJrIVLAD14BbBL/lslEk3CKcmttqzqrbdKrkLolNczda
TrGcFUV3GBRQl1Su98xZwHwYrQDLCwEK79vPte41VzzeMK1eCFNQNZAEd5ZZNwl/n07wlHNKs8Nw
jbcqaZP4gJSm7d0L9pdZah2yacv5Q1Q1qihG/eFgduPKKdneptSP+GhCe88VUzjkbLqBk5VfdRfk
8IBdO1lZFxTxyCJ8sqJOAiivYdTW+U2POlEtQ8UxZr/D9K7YxlmLE1MThrczy8y/8RQbj0CeeOWA
BhlZSzCHSGjJHZUWNAqlEJQ9A+vN3sloH+OTnd0OF9pyfSEve3rJ8bVvpnWqpcPZpfdtwdhy2Lv6
VNzgkxp4TiyYciDTvE8OvvHatlNzizAMWI/sbbSgFGBEoVNU6F7Pokc9LbNH7APgQSGc2ksnlPKm
Stvgak5dTiuRE+51r+IeCpgL8EVKaWK/8PtwL7oeT9UYgapO2iBgmNYbouOIGZS7/MK1tv6gXKft
BBVjgaZ8Hfb4scfWrwGFxZKeMCDftl1Pp0DWxipIRbRsI4lxvaCwNeLg/zK7/lViuw+Rgm93ULgL
4Rj8lfYhTz3jh/BscwENlKxR6OKi83L3xVBIb3QYtIEhtlZSAb8ra36r4+kddOKdr5DggJPcVaYw
4Q02wiV2jAFWmQZ0AefHqLDisPzydZZEj7wt1qZT8PGgCS7z6XChZeKmt4V1bGCVG2r2orA/hB4A
macKaV4puHmiMOdZPlWwyECflx6zI1ReS6WFNrECpMNvu4lxOD3Rhw09HQtPvqScqt4QvKJnXGHW
QwVcnxV6vVT2bwVjR2u1XifNHLdw+nBnBf42UPD2UWHcKwV0L/j4vWmNtzYV7D0H2rertHA6OAoF
HysofB+Bh58VKF5rQMaLCkTs1OD4qi4sefQ0fIFtdMLEx86eJtMN9uRslYChF3Obc09Ael26lfdX
EbN/vZa6WP9xftsqqMn98M9GhDi0p0x0vtgnubL1a6NHWgpgMJOULiWjoBfcSDlLFWzZtNH/53up
cjn8lAnmVuqaBKCJf5CIhJ/0yw+fRVG701yJvTGW9cec1MV1JbL4xic1cv7PP+qXFK76UTRC83/q
9uv/SwpXSJG4Y5zzoypTMm41YGjioIvKr//8c37N4V5+kO3ZAYIDlShELv/8gqYlLtU69SLFKpg2
MWPAvasiEVkh2lsJ9Ce47oNYF8vJzt8qDymcVSWKbzBlqst1GPPbXX6l/9OP/kI/MizMwj+9e//i
Gtq9DW/iT9LRH1/yh3QEofI3amB0SBW/SkeGq/+GuVTpSpxs+CdgLP5QkEzzN8hZiD3sLYSxSYv+
fxOR4f8W0OWi0Fqq6JdE+H/jIkJ/+vnxsSGA+M4fz5Dq3/LV4/WTiQgWTDYnTmTeN02lYg5zTisG
pdYIM3OGA7GyyaTEIqO2yEtNDlupdmY4NbFnalO1zATtnrRIc6/Vw2xYaa6xhIVZMXzqq9dG1/k+
yJl8KrW+FLdJPVYKPerg9qT5mBSxaa4vIRVTg8uJxj+sLrEXKODpmbTJvAsi1qvYoBKsmLW5hvg8
2DRRi/hmhLxM7XfTDm8UiNK9jbgjmMnxsi3jqEfeqdlRNzgo5MFBWnrvzDh5a6NhutUQWoD6JtPr
VM/1Mqii1MNUMbdffR0ZnEEzbtzw1O6i2CU9oEHaLjG9PirX0F8tYJbK3/5zBbu8BSpVzbuq66AN
FNrw57cgn207oXfXhY9lBXvH6px1ZY41CbBy1JifmrL1FsLMg1sO6CZ3CpM/rXL90llyncJ9ECfT
2vMcHPtz1x/n0IlPJrf3T0Ok2nMhneYcTxhbHJEkRwwZ7KDIiNBhMyiiSIbQUxqrvPH9+pFeVtAt
1XBNlpW2hNjcenHwmUhupj89JP9GTVQFk3/+o2mXUx9gGHEUov0LO6Ii9B2FelXc22Uevhrq3Y+4
A74Ypj3eah4o3i6xaqRGem3smOnjItfaedMwjTiO3ai/V6nByxA4kMCjwk4PQ2nRXTDx3yS8qC+z
Ko2rSIOlHHeucU0hOgc5P3zCzGOC+cNqkxa0Irpppu9EAaE0pjZtmxK5WCFKtutZz/lMW63eX+mz
9Vm43fVAqeSu7UJnR6WjcqGCnhDjlILyH8y1jksFY+9rVgXJwbbL4YOWdQsbhjV8wAq39t6U1bu6
VXJHzECz6rtNK4bxzEOZnrxe42Fq4A+l1qeOGZWES1i7FIMkjHB8RjpLmK/0BwtBavHCTtbnGp8L
+y5AHjIWY8G7tGgLkRzzWPnW/cyEyl9UX37GZR4vOl6PBRKv3OF/NjZF3DRUWlTiKmtb/QjqnJRS
YfRHh0kXFRzctfK1jOdkNxHPDpazHZlnTbTjTUN5yTUIMUxTsz/vBkc9m1oK0Jpcz7Mdc68O8JZf
c0wMlkru+IsCtl/WLFVOaAYuRE/LsALey0AF3n9as0zAEGHUe9o5bvX5jkhPgZ7X4MIaYdbWHt2a
cFn47NTl/EG+kuRzq1p9wN3En0lVjqfKNUOaO3T57EkbYnyc6VvpVy8jgV9On27+mEu+S9rXDhHe
Hox1xnt/XVLNvdBb4oeNE41r3A3medQV1tyb+FOnTpuOUEAEtF5uET1EC7Wglikej6o11k6rmWuB
I5PvOQJarlM6yC4fW9C1YLWFOx1rBPRroyrDb64f+ouv5c1zAA7hudBmecKEhqyckweNV0zqxXuh
p1vaxbR82Y2Bgn93HWnpaU69derH/o2vy39AbD/G/xd9cfdUCdLif6jAui1F0TZ//9uFbfLP9Uq9
/Ew7oEBQ1GYqJ6t6tH96+QdpNAyKa3JodeVqyMMeSngttXvqpfkLjMTEpSEb7SGZBKKRM1ZBdRzr
AhK8r6vSJYtnEFNRJmlrSvvqLe1dku4BlyEaeZhcvGJ74o9RnsG9FJ22+c9rz7/7A2y1vRoup0bQ
YL98foo5bWoDfMY5c+d2PSYGJO8qijbSDYkpNAXrTCgZGUCnZ4kpYkdbuz7TAZ2uwyuE45BEXm2x
ME/lmzV6xjXN8UDaTRJiG5n54UPmSbzncRHhaPjPv/tlP/7lxedk6BHTMOntZfD0y4uf16Km19o5
l50iFg9NE37zaQ79Xc3Z+8mYxXyk9gUdzeshQxOHwRpbFO7er0R/ABIglgOetn3mQOovPak9tG5O
imigzWFZy664mf1GXDO+Hm+HPIB039K9/t2zTfAWCfu9oc9wr8+zT65dJRs78tMFMxWPG1RCfHBU
hrmW8OezSex5p/lkzxpAQesQKOkma6xoU2Xx+Eoued7Wg7qXMrRYz4VX+MvWNMcvI2pYr8zc1hT4
yjTWM/UvG6tM3w38l01sFRIplULdzMYxVXg86pwJxtvLoxcGWvSJUBz3a0QAfj38V3So1OaZ8TtW
yzyx+iW2o/hTr5p5k+gxhGo59F92lqsVRL00CfcXUL3z0YbQznAtZ+VDOCWcZubpg06FFPKedMWL
lycfVkkuR0bxuE8Hk6Y0ZSzTbGwGBEyalYOh75SQ5Cn+4oPAIfFPOyiPIZNAzgwAgZzLcfCXYwNr
dd7RAyuZbxit97/sndly20i6dV/lvAAcGBJDRvzxXxCcKVEUJcuSbxCyXMY8j4mnPwsqV7ft7q46
fV994XaFLVMigUTm/vZe22esgAP8fW3OxglLTUAphhstDldCtuGWrVj16hCdx0bMmrQJ8/YQabW7
ZjySEczD4kVOXI9TfyAhhXoQFtuuxvkEucrVvyCuZx9Z/rsvJmaR33qO8dpaOnbuEiL3yKcySctu
h6KzN7lLRftqEoVFxNvKgmybGQHRFTnn/d5j8r7mvOYeiEZ/xK9pQAchhZ75mhnvCPNq9zhpFNF0
4OFfGTiyRKbw3slBlfvJmGG+cdfuabpYtpzL50qipvvUkk6xtRRlbzLjeSMt9cmoaE4njGqt+H6i
nIkiN4QM4fG7idkKn5Os+wbcKV83A8R7yvlA/ctMaVhW5no3Yzsqb02aAQkS9Wn0xHMgfkJbBKg1
V6PlEenLk08tFlVcsmlN30rEvoX0h8VqQL6oir5qTIav2kB5g6ERLjvq3sSjqs2ddQP5IFxZUd9t
8O/mOj8u9MoVuPyFbT42/D7o3tsYIwg1gNBbIRbxo3gMw66ldFXw1JmNxPoSUbas/BDWYXrS4COz
/ZGKUrm41DYzXp4veVayrnZ1DkmClV33tWI2bkKbcgTFhYB9dMRIrQmF6mmD3Hs2yhk0odL7+R7c
BjI/xP3p2rC33HcazvhV287zN9NJvQMJXW2T9XnqrDyMgeGK1N64EQPYeK914gi0DM6IsVng+HHN
LnM1gePqJGhBWr8DfU0cMPvmuuMV60UW+zbb1oDoo1tgPUvzs+vm0cXM3dHnYYALpl16M95X1L9P
tn9xsrU4Vv7pyfZj9xr9aIn4/gV/nGt1+UG3gTNBd6a+GZPsP8IwUC4/AArk8IppAsCgYIPw/Vwr
zA+6wYMX8eQfB1rLBdKuw2e3DdcG7I6R4v//v592I+0v//3j7uS9fffHByT3mwVBCByXBaeZNM7P
D0iWCfbdylO3jPK1GYFupLljmzujfMpzwt4AWtIZy1FYnVAC26+GUsSfYwfPf00Kq6nH8sThYbqQ
TsfKHRsTpydlX/LKaAkMU1zFRpxT2aj3A2PQ3BHBeNVcUmi1D/2YkqWPUTDJvNr3OfY4JxyHmr1M
Fmh3MhcDvcRN0tCiwmi69L5Zlavifk99CyPMQ+jiuYc7407MZYA51cNDNfAmP2hF6XJQFpFJ708y
NvOJ91JYiFzBhO1Xss0Kq8UFkJshAAYxq+7a5Ayr+zGLiadj/KpdE8bxWDjBI6ep6JE+FwuuBmzU
DEPDlxFdC+SAaKAk51Fyj+x87qamPqDwh9uoDPpXCq45Urc50QSoSwwn0Zd9CcQoc6mgmqk9OiY4
iIm8ryARI1eNoz7UJ9OlD8rwE1pHzlGYDtqBVX9kBJNqoXrQlNHPOtaVNAm3gahs4vUmg69+NwR6
2dV7Qw8DKhlXOY+6dLo6mR43t9XE7J5PgRkfGdfD3ytC0cWd+osVgS3xok3855aG82/j/9z+NsVv
5Y/rwvcv+8e6YHE7C8gl0tIdCOXcf99DciDIWDIskJHc4xKCMn/0fV14XwOgucqFRAqZdllN/gjN
GR8sEzcCjybpvgfv/pvl4VcWNxQ0Xt5G87IB8UmofT8vD3UisnkMi+SmMftYvcI3t1vCm24nNjpz
7UJyZzdjovaxVba5RhAb7gAKke0W+5Lk944JiPraMErKfSBjNnwoNcynqXDc3+omc9cxdRPNXO+L
DsIJJ+40GxU3MNQcDOqroTeBX30lBYpQrquQhRJK1pxE8g4CQ+feD2U/GNamcqCKqAergKTjOyP2
n5fM4l5Wq1loWK4a7JFFfoxBmMGydYlsDLnNuY8+KDudohtnKOrKe4i4+coRtjjd2+YGMFqHgsag
McfZgY5vbLjjrUz/FNduN/e7oho8M/fJCBf6KUY+IgKg12+R1jZbt64UJ6KscP1ZjQlf6iht/lwV
TMd+73X/+5H8Fzeggc0YffY/34CHLIsLWGM/3n7fv+gPp6L7gcCLSd2GTW5Nsof9x+0njQ/2wvpd
sM/ye4XKPx/LpEghEsLGdfkmlif2H7ef80E6LrURRE0Rm3mq/je3H/f/z6cWyhmoYUHWJi3rMgB+
1wV/EA9iJxbUs7XRcarJ3a3GqrRXNvGXU1W7WrtSkyGgumF7rtIaoWSBS+L7HzybtEXLJnHfGNRv
+V6ZOcd5dkWwyYZyHle0h033ZHlysTMSjIT3qUwaGtBYqXwAKxSYKVrvcRTjpbshAubVqwyvjbnq
qeEitglH9EYmjlsuu+/5wBmpE6siKeVmzjhhboalmMO3loZpjtwV3m5PQ+dKlPv2HuHChgZEY9at
YhVVWdf6yoM3tjaY2Zk30uyidStz53ZEFl3lQ39tgV9t3RZe70pRFWmtbceIH6okUfdTpHfnhkKk
65JHLDbuVGowS7wptDEO6SG17El1zShngg4z1huOc4pSaUcezaqJT0bksZ8xG8hFZVxu7YLUntlG
ABy60UyN9cTEeCs61/yUScz6sdVkD4YJalFG4nMIM+fOLpVcY4S2Lr2ZUJBUKrGODPMSOTMnWla6
jaawxU8V024LB8PZKsarrY+tb2dUjq2qyY3eQMhUWKYACuL5Tk9GnsOMcab6imXL5W2P4vC27Vtx
HqPloNj1c3+jj5vaLMtzwLD/WzI4cjvQQLBtbc4jYeO2V9ORuJ7wsxsBJBVHi+qV0/ILHI1Pkkzw
qnHzwq8y+ziMzGVdjIAP7LasqzXJ6cRma7wAWIOglUZfEhpKXu3SGddzOJ0y3VZrG8DHCjVFkNip
NNbiKX/ImjT3izRrz6aVRigUwE8CmdIQnHRnbUp7n17F9iM+8IAokTmdFZi7dQXBcmPYfKcatJr1
Ygt9nFmn81Xm1azfSVFK/tkkIVFVVcbJimr9yJHra8bfvwt7kd2j30ClIPEsry4gv3sPFsAK2S0J
cJjP81loVucn1YBqDTNnN9NOe9VNrmjX6bsbMxXipJBvqgYLocFlf1vSofMyNCSjNhwU6dpMImMN
uC1DTrEGsa7TdNz1SRButbo/ORhpjzTa3w4Dne4rFAxIYfQ5+x4Na3uryAYOuVyDkAlhu/UBMWPU
tCcNQwsJpqtHInYbuCcxQKcgZEROqk8ukdXcaYweDPTStczE1aj1bFN41Vtbue5iLH5SC14creZz
7jbZFiJDp/w8Nk+2oF6ZUOApU18pqWU2jxMGgpn+SfSSqCAW0n01Dtrt6EmsXD1d9IkuXlgM2zuz
yqctD7GSZqbQPqi6FU8CBhYPb7dd5wHSjkZ8x0m0o0s9B+3z5gscpXrTu3mzQ80zIa8c5y6+6XLq
+OqO6Dgp2iJoUYccuSIuktPUkeRseat4m47JRGUrxjEvsLL7yrPDA7BxaINzah2oeZju8ymbd0WH
0wcEVENB6OTcimaAQYM5pFEiSNc0Ko/3yHJPRAG1vVYrrFLCiJaNQ9mKUSediM4k17XRmAmVdqOV
30DBOOeN94VTkL1xnFk+JoQIt7T9pDDS4uCiLC++IwnzWohKHOwaT80cG69ONdjU9DR697lt+JHh
5lXrpsrMU5gV+RbSOZe0HuIby0UGhDDKLopldxVNrHd0e0HjcQv1ee4lFOaA9Zk0UHcTq0l9lmrC
2ZPHev1QN0QqdaYUoVfkdyXRYTihMuurC6YVUp3VGAFMN4WLKcYeOO3PSXnA0Qm3DKmabpSqkNcu
cb/heR390IRCMkYeljDKFwhoYWP0mIsVOY3mIs77ib7Q3qajvYodbWvMcAs9s8u3KsK9xuIOjnXq
n6JMtYbYK6SrI9ueqOfZotVvqQZqimFjAvwWr7fp3KWNV5K5Lydvn/ZeMt9MonHuJx7YD7TGcYuk
I5feoSGy/9wacXOM5ly1NOtZ9peOqz/2DXouIt/QAlfA06vcaw1O1VwHpG+OJU6AI84ibdvJpAj3
Qd0dFNTduyjrswfId5a7agb4r1EacOHKeYxeoE63m8EU+d6Iw+h1OavLFZBK4Puh6sRNaDUG6BZR
4fueRzp8hsrj/rCGAbfsNJMcYmn/VqRCp8VLmONtN7TtBQ201sG9KfySCE4VtiybuecKdn3/SQeJ
9Fo3evzCM5lwPNCSW0Jt+R0+IflN59wGFjQLLFSvdPikpdl8znX3gBSf/ZbnlvPVLqSNFsSEqsch
NhCAgvB6sMvhkLPa+i37B7VmUubREci5j91qEnlP/aDsm8xps69aoifEsthG0+BaxeN9UAvnieeI
3FTTTDZPKVOjd9atAqzvqPyHJp6mtzSOpWAxCkk/psWwkOqJJuUq0i6YOlqaVay8eQEimp6tjFkA
V3EnXPyA+QwVo06/CrRQpEbwQW02mn48F8EhNdKcMG7EzYrxpr6bawtyDXK5p1YmVrV8o0yJJzmL
xhd7VNi2vaj+zBR+2Ba44LCchzKkcaem/paxyXCBO4zybbWN9iZ01d4piFU0B8Ck2/cuAEcceWP1
WYYTUrkiT3GoDMaL6yROasR51OhPNVXwYuWVVndNBGQIzDhWTRK1yg7cczBuelNnFKbEVK/4zuXG
chv9JZBdIDZFrKfT2hg0e9dnIr4GsmIsZpGiKPq+gEdAu+6O5TnxVrYx5L6Vmu6NGrv6aESds3Yq
oa/V0FPEanLBuVk1czRpxKbWCbsCiew2wI2lwO9b3Rt9261blO2bTBvwqrnEudaTm1SH1hXUjudZ
0bzQmrxMvsO+NZhvteVzqkBDbDpYSTVAxnr+DZKzdRvoY7W2TOeLCCP50WVY/ErKpNxaEdHvNUt8
kK/UkBIkBL3MimhPSj/Eru7eylm4nwe7ycizVqTvzdBeqrktZX1xxyY6dYFhPZHbIJ3v5dbiim7I
WlPzW+7h9PDbdO5Tbw9jTF2RYurBnxh6vA5ygKKGx/tzKILu3pbka/1kMvWXfmYDuQn1seda0tt+
BdTC+Cprs042QU5H5pF0WvBMJK34iBvBabcWqv6pb3u1GxJNAynXtDhUoeAekjC96HMf4713z6Ea
gLTkgw9PbkMUOvIL1cl70Un93JMIxLKeU39sAxW5g8WlrTwjdHfMMJZW92YQX2h1MukwQCp+wg3p
0j2Sj6TVDM0yKGdtOfjKLAzPbWfOmxFJ+mAmFPvOwu7Wc2Vl217X+xtDizZO3+S/RYnZwxjvORQ7
CWVXqwF4wTrlUPsxtN3gi4PMux1KHZgvn+a8hIJFfxuZU4rtwkpJsQc28b+4CeHohqlIvlYER4tV
s/xSaVHG0mKNtyUzjk9ZMGWPsa1HOz22Kac2gv6mqSaJsZwqs1Pa5JJaVfaI+RgePWCX7bZg0LX3
YokwR4VW+tyC68FZEozoaFFsk4qvKtPZ1ME8n1LNqI4jLp4bfsLsxsQU/hbMcQfXpesQ0OphG0qr
ONRZSONsOn+qGEP3vmEazWto1e7FqmvtN6Sz5m+Z6nfy0l+ckgGQGX96Sn4oKS7/n/UrRK7XH0/K
37/w+0lZOh9wVhi0xUkLfOaPJ2UUVQRsQeu8zSmVatF/ClXC/gAhmAYSInCL3fGfMjbSNu4pIn5s
jHF2ERL8bw7KmLl+PihjBkJW11HL8TSaizb+s1AldebQQVBrJyFIeSBo5ZtZNPYhz+Z0g7+3Xeu4
Zq9W5gw7j5KpjcEWGKO/F63DtBwfVerkJ6tFzjHqji1LrA9sbJOk8AtGXb7rFNEm7cJrWFl7kVIy
F4gm86mrfhr79AJ4DArfGHq+lprRCsYvuWcesiuZcw5oBfGvVc2U86EruIm4W1CFrDA/i3FoHwtL
YtJFUlurvsm+6hpJEc/6mJQJendXs9j397TU84gqHXtXj7bAaZP0+TUG8XEsK68+KTcaOp6Mebob
4JOuk6yYeNY4nBHCKd8kRMKPognktmt7C55nuUAveTvPjYPJdjUKQhQDSEueLFNtRUvoSu1nvdE3
eiWgy9m1faM33j7LGCDqhovTRxq3eWqcwEvklEhLrMFeZ27SKFWruvaCbadXuc8FU24YvVJcFqaU
Noy1Txt04/Nh5Sckg3Tr2pp7zJPE8YOSB0/PbnY7mTyy91NhGbZvtxNg/Gx+qO2CBL6Knohumh/H
3HYYibrDS2GUJq62Wq51ZZXBuWqUqW+yMorxmNSUVuunoQAg+lA0VopCFxP70N6gwRq03JRZr83b
HtwkDMuibGFgQXAgX8H+pVt1KC3X2iq8M/sOqrZHr2Zj16ihHne52TZ7vMfTjiM0UbmYfo67KS86
hhud3kFr13KwpN7cWsOK6h/7xk0b3cc8Eacb3D841eCFkeBKqF88IxBYlbbW8mkK511Z4bJrbssk
i1m7saQzerVJdwyty3B1IMxacPAqOqd5Kc3AZtbIUJfqQPqetYSaaBIaCTu9Ls1JnpQeOG3LnYdh
3ErqvPt5J2aczVfZKlM5HxnMtPqDNigcZhtNJrgYebBzHCAnATtrYpaQOiXzlltKwkkzbOs2gMVp
ZLrxqfSq6Z7p+cyOISlqc2vGRlL6TCqmNaUzMvC1vm3lJlaD9hSldpyuzdmF8IGJYiLigndmVcj6
q83kdV6X1CNdOcRj7WIlIRIDJzF6CuyCyaaWKBOGMgnBu3kYnWGbae4Y+H0dlcXKIKt4JHoa7QFR
ari3KanzeaqrhyaIGK9YTJM/pTH6zcquHetzHQkiI2Ee3tWRqu8AHXsbWgIq34kMXPJ8A/otMRJG
82HNcQZk6j5WRXVx2qZ4Ik4JrMKtKYBfkY9rCV9JarHNJIG1xlQX5wjbzpXddi7ycjchamlkcVe6
Ubh85DP8nsS2OrUyhsjcRPAZr/3gFhcMVeEOfxXmzQHmfDKEj0FWTacqq4C91ViIXv6e2/xf5jYo
wKAE/0w2Lr7Gr8VPz8LvX/OHaiw+uHhIMDvgKv79qfYH2ND7AL8CSYLhzKL+Mpz9Y2YjjA8uYxya
oF3bwMa8TGL/EI3dD5B6mbXwLPxda/5vnoVikZ9/MItiDjXw3fOvSTqPHM/8teC6R76M52jSFm7y
RKIny17tBA8gmF6d6veIByG9DK3C6ddjtyBrh1vPgQx7OzuBmHyD0t4NKNrhKwPW/G4G5PVZ6glY
5lCmEI75qnw9lQGbOpaiz7mNXZOxt3kH6saBSYhkeTsbwGb8NMmha7Qyc8CreQ8uDNBrQ+T+Th9e
87JhE4nS+tRBSnop03jQ/HnI8DmlejW9tlmXTxTRarhjNCuEGDjJgvXX6sjSM/Gp0y8R21pu7yYn
P6+AxMPxUKSQuUPZEmeyv10IiERbICiJtd2YHv2jrIdorESuyLN5ibWr5QLVp1U6urGg8HkbTnAx
oL+CtDYrWVq+LdzxlxLv5Llvle73VtaeQtmOb3RVFC8YwQjUcLpXp3hM63tVJeErVmCk4sQsVzgj
QcPlrC09Pr8p9sbzDJf6YluqhGzoTTUE1nx0dwzK07Nn5dM9PbFE71W3Vm15cN2RORgVyj6RP1yu
ghy0GbsXeGiEqRIrf5vazECfyL2LYxvVAUhz90C4t4Xb3rYbXJzWPpgrg+iFlhZHuwvddaLm/kTO
huH5TNHvcZgzGLN6CFZ9Fdu1e+PpuUn8RFPZk5VX/QPPKKSF3qB3g3og4zmmG/C506rpUI02YHLy
5TfjzPweQ61DQaAS/jgF880cGv2nbAnBsRXIm5sxaOpT5FFpIhs502KkOi1dt5mICBsV2aaqZZGs
i1HWrOqGO9yi7zYGOT/CPvU7/wUMt70L4xxcmUmdxOcEg1G2cHR5XqS1FV4KTxbGHgtEfI2q1PrE
sywmF23zahisARJA4dny3BAnw0xQzaK+jPZow+QUFWAksxvq/aiM4RqSIvId8OEvWhE2R0vP5W/M
Ot1m6+h5yLncGr14QyhdXpmEzCO22bDUnpPQci6RiJEQqRHWiF62c/omqtKSqPiQvkJ9ztcSX7lf
5xiU+BxTEF5tdHGnpL1tDRUdXVxxcmOUY30TBYUgJqBCdlleQvWmVetLcUZJ3rHmz40yFLc1Ybxy
E5V5dU4KF30doYm7/HkqjETA8A6lFLw9E93jANqGWOf/ysIIO/aMclCJc21LOenZTcFYqMDNDAUT
s8ZIRCoYoLJf1ThY6hjR1LevR+dieAkajnBnn9Q/Exmcyw8TPsBh00599hIEksdbFiAnuL2Q0A8q
s/SLvLUf+t4GtKNio/M7oWrIXrF+FujNN50N6E7AUV+1ZQuiLqUQSgZDuiHSy6XI/XIN2olxUAz5
7uP0rt+i3OvJxY1h1Mm1qFC3H8Tcgp3MUPUL+2watbYf++ZJoCnda6m3dEktkrGFdjwQ0r0tFzk5
X4TlbJGYyQGqe7ZMJnZ6BGiCmOHBU212PzZWc82+C9WAWy2Zcargg7TQs2HFxyujjs55wv2xSN46
2veQHNmW8S9ZWk3lI/K4RCd3FsHcRjlPEqY69H2sSDi0/DOLvL4I7ZGwBM1hiO/GIsPjAWjvYpR5
uUj0hCHlplxk+2Q2gn24rNYKTb9YxP1gkflTpu3tcOpm3sOg00/J+0TAkKm+1dvo4/Q+LmBu4LmK
wwGTBLBn2YYB2FVfhgwB0wZ00DtnTJJLxxwCZta0MtXJXQYUuV4+DDFkhHxyOxKyTDKolxjW5vt4
o58qb+9G8JvUMv3ofx+EMBKpY6M9NlZ76pZpiaIveWcuExSjJRgO/NtFP5VpdAR4IGJ+vGp+iaa2
vZXTKLYO4BCTy+jkLHMaPWzMFSckZjcUAO00u9AWAzdXkyrns3of97QloQFvmQHVSsmrNTcph7y4
y+7TZVrkyOarW0b6kTCmcZpzWW+0dvRyTjkTXao4ARg7eVx+j8QqwjV8G1rCl/nUvEyqQidUZwLc
EFUGo/k4p2HvaxijQNDF93ZDHhoSX+TjkWwZLTALa/IsfxiyILi3l0mZWGZmNhCKtcXHJBHj1uky
Wcum4DVaZm3mMnUzl/lbvEzinGUmB6479zsLBMcyr5t6Lh2abz/ZyyzPXqZ6UTLRWO7wnZqp+zai
tV093JS0Xk5qS1BHQvx2s28OW/czjsN2mR6OHV4G+qyYKbLGaDdJFzNorKO8vpJdzdb1Moe0lomk
vcwm5dRGb+J9YCnLtvXdtL9yEWZnWerZhfoDcCrLrDNepp6GoV9cSIHrZf53yJfZaOZZcq31y7x0
ND7bQ4NgZGjpQ75MVe1lvtqVgvz8+9CV5XAZwA6643OuKrbqfUCLWWZnLDNbjVnn0W5HBdIyng5O
xyMSm5pz0DL0gfXf++T/yz4Z1XkpOf7P9oprVH797X/gXb8WX38Ujr5/4ffNsmt8IJZpGlgLv1si
/mGx4I/w94E0eLdeLOLQPw0WfAWbbgfFCU/Uso3+vldmG00DpE41IamK/8r6aOm/aEacA0jf6gI6
k2Czzhj9Z82obgAU5ZI4t+bS4Zzg6H3gYuziTejBC45N+3mEyMgepIrZ/FTPWWhrB32EbVH2ZJnz
OeIp2Ir8Xg55ccl6/ckOdPbHALCTbSlI12AVtA6NAXJVkNfeUvkxrmjMOVfLOJiB3CWZxuZVWvmt
M2a39HDtAFME666xAcqgcayyoafnoom/Ye+OzzkWFh+eH5TloqxZBz2M47aJsKLPp1LqF8dorZVs
xld6XBbCHo09AjhQ08XfWrA+69yi7c0tvbNrTbsxdivaSyhcTmExsOMJJpvOkrhnAJre9mq+iESd
9JC/1SQaW+T4VVUd5fDwBWyc09lgvJWu81yrdlviW2epi6xPDJj2ceM5KwR7nlVtACxdA5nTWc/p
kL26OoxhenCuBIGwixuXLieSxVT9W1IVmt+GXbK1MjgpVg4sGzY6Yvg4PIbWePWKyQGz6zCjyuTb
GKRyZ0RiH7Lzps+lPMzYgXxtJPCFf9YXdnw0o970p3R6dJg4jJV4jiwqV6bstamTV2qszy4TdodN
NftkfqBRxN/KTl0E4sJWWd22lhVzUjJys4BgO3XY4hHAk5VZ8kaZEbCFYCkzQJCMNnEqO5/jVHnq
6H/fhNryXkb5K+NoUCKL16wbYTAur1UJ/gKUhsvY6pfOxEUQ4VD1CK1pg36qXEYvQxp9s/CvbaiW
uE3T6WTy4ey9UjrAXJdIm1BPc9AFBOYcjCLSAnbY8kLAApN1JMV804B2KdX81IiabI09Pea6vZ5U
MfpF1HRr6vdeiwFmdGZOb145nwaA2n4SNfE5rd3nmMggatcd7S0Ghjpjq8xuP2P42NfT8DjDZonj
quNCtfZhzmek6R57tg4RsodD5pQqYrbP5ykxUWLN5UqYoFKuajOH8NPqT0VovEmLzpecpBP6WHZk
t/9YN/2jmLJvOYdNX3eYcfX59GgFRDDTGGJLZi4GI3wsHFHjmFwK77tROGe2t8+wCJOtI+xzZQt3
y9Hx0eLnZOTOcG20HI4sjdrTxcthkgBTZWrV5yTQpO/SG7ZutGCA8clll01h4KuaTjMlu2Ffu2qA
wGIPB2II3oHuZu0ujVS2WXpv7gqtUtBEsuGYR3Xrm1pmvXVG+1nxdLsxvLRiHDmVcS3WbEGqZC3z
GsZmOo+vgUsMDROyyck4EXVBvDJ4yifYvhB8WmwBuUktVRQAgU8/Nxad9unENi2CXA3rc111qtnU
YsKR0tBBjMN4apjWlHQsOm59zrToUkCR24yaeCo1I+Sgb9ubobdfp0I1b0VBoIyZarSBM7ZiK0iL
0CwdZjR5vyamtWCoMTiEBZf/nJhvpVFWuFJytAOQ+c5kGls2BnxubLhWPeUylHsZ+noyhXeHY6vf
MRNng5S6z67mnHuzHg/B0HzTxuYknPSvSHu/qh1IJuyCUVQWYCCj8Z9XcebRGODGtNyLYYn/9nXn
E/08c44l22s4fxEk4snzs7bCq0keaBZeWAYrzi+GWCnGvnAU7taQW31dGClAIgRzx2JB/+Fh+m+C
gwxpfn0ly1qaL9DhwZm8P71+sP6NrjtZSVCVe7NLX2XAargsx4kxKt9qOSQd+J2+/fPXJCf/r6/p
8QDHEYm52P3lvQytQkYem8S96uxoY7fDI/4NskaW2I/a0hjDz0vh0alpWd3+/KWtJYr3QxKBpzFJ
BPaoCGTQ3vBV8uc//LxVGo5zorxiT5zNWidk73DpOExLWk4xZZLudTm9jRRyYBgaKIsAE7NuUISA
BMGrcgIu1/nUhwNPXVLZUlLTl/TNhm6l0+iwfHuOWfkpIJO6TG4Lp9nm9nCd8vBJt6N87Uzi3HuZ
BsmolDsbYM5LaGMFFEs5zp//pP/mEgJKiQmIvahum+95yx9+UDOLJVFYUewjs92KUr/ocr7kMznA
v3idf/eOCvgKTAcYviHW//yO0gLtTfwh1yresUM7TRdlxBi3MxbhwpFQ5730tguN/D4b1IWxRX4f
hTxDxRx+qwfW5WWrQqtmusLwSDq8DeAy9o/UO585QO8ij+XeruLcD8n97+rJnJ5D21Q7AoCQ3GMV
n3q9aa90IT1NzVItYMbi2MUevi+no1miiL8FMQwr7IJ8ipNX7ghyfAvK+ckL++3ctTy8GbdFyt5H
CAWUtnPsAg59SnFR+mY/XyAxWivT5N+Wnva5sVNFWRN7rD9/I5er/tcrU6DnggEDIgRL4uf3cXa1
ssY+WOznEUoh24mJlc1m5L3SRmv/56/FDvtfXgtzseDTArRum8uf/3BxNAiYLiy7Ym+nw1W08REm
/F8smO930i8/j4sci3DMrxLV8+fXiKMaKhplL/tSDjT5xZNJA9gMDMZ8i2eLhltoqKkp9lIzz2Mg
o41bZEdtCj4Bgvvi4ZVfkSJpVh5tcVQM8hCPaA5dVSq/NYzw2+yM1oZWxXQPqokKatsaV70+tzdk
EDdwjz96VCngQ/XCA8w+5Wc2+xbDwJ1Zy7ramg0DVJpyzR16AqXbZvzNpuOS3qj0diA3nNqhIuAH
mkEZVL8gefrFgise9O5aFiZEKGs+/cVn8m/uWD4LidWbdRj8gvnzG1aYVQc/Oy/2RsZBYSD748cd
LHxTS/mZqXjDemEntMp5Z+aSULJaLJIz0nmXcC0HKTxFp+i3Y7A4rx0yROAPn8ekstYe5CqI6s45
oBjQB5ZwjqSZoFWzElUl9Rxuop50c3yjiWwFUvZhstgd4sQgfaxNuzTSKVPhbaqoo9lZ2biT1XgN
bQfnXcP1KchYr1pnGKGViwTrZiZ3pj0/yaoZfk8h/JQs+zFJ9m9uEp4Zy//ADHB6++U9GsPazbpx
KPajV6zZ4kwr6m52oIF6eJXhX3wihrHEdX+5hj2ewixrZLu9f7kna4HryBR9sW/MtthQWlSuvSA5
AsDeS4PPhxwHlSTARLGws0wxYH6Ow+zWSdkA9mWASF3Iyo/zAVnOYX5JoJdWMuV9aVPjhtaSu0zm
rR9JdvuUT1hrq2rfkPeuU6ZOBCx5GHOZhVb6CmqRXSoet2SGEtcXDMNL02e7uhm6xNviyD+/Hy9n
McG/AH3hyyY9OhqtKwkG3G0V9BSczV10mKj6ez8EBcUEIrZLy2PRj49xx0HSW3SmueaoZ8/jY9OF
pKsXe4E1PGJSv9RafATAhUnNhXlRpGq9/EbDboOAu1yQVT9sDdG0m+U2aif7TFXUoxMuBwjCpdxP
leZnNbslPUhupzqFklHxtxvNfkaS5RbrgvoGXudbAypz7HmDGU7fYrjMybKxFReZeE6i4ToSi/St
kupR4jYaEuicQzGGMs/xp8uOHIp3/8vemTTHrVxZ+K909B4OzAkselMjqorzKGmDICUK85wYf31/
oN/rIItlsuXedoTtCNtPyipUIod7z/kO+mHa5UApsBhPD3Yvz1PN+hE2fb5PNOuiazrUafWIdLzf
AkqMtqQUFAeQQBepNL/pdfTVfvya/PVhLgnUc/g9mFGzqeTtmpuORlzBDsi8Row/86a7aVT2PcqX
XO94refz1+tVu0D0gN6Uk97rO5+HckOfpScvkz9WZQaZs3m8RjS3cmbVPnS8oFrSnsvX7tCOHj4O
hQsaoGIsh9G6Ii30Z6Wk7nlZuyjVAvZFOYXuWc5nX9LDvtAV1phYjg+dwXFLrQ26SGrULodAEljj
cLJG362zH4ZEZRA1wDFbxO2d7FhBax1Lo8OV1CXvCnnxjWm10N5TAPBRnQCN66dDFvZ3sY/ROdOU
iaLk+NNuIDjWpbwR3A4QwdgXHZsIl8z2zsDyOZ/mpfh7f/1/A9MX0iyO2LPh519X2M6fovzlbWnt
rz/xV2nNxmwEcMu0CfDBqMQG9ba0prJ3mJiK//YP/11bw/LErQIiCau0A6mfU+PftTW8iBbtafhb
mqtiBxZ/0of+sGnOQTHosmZiE/yZuZb49q0a4TEgc1AmYkzWo7u2xnMnvnzzNK7++Yq+3XM+DjEr
0pCru+zLXBqOhgCtkQLLcieP4APEpQ4wTg6tNo/0f575vzHK/CneHsl8d6Awxigi/9EoP4rhRVrL
/9sQR/cuERVmXnQMAURAqNdwuarp+fMhPu7PiKeB8HGKAYLx4WpnD3BzO3i+Xm86ZB0pLomgZXGd
ZdWWlM5s+/loH34ZmEOq4CgA9saijnz0y4jBGmBGi9obC2xYasN/RJkgAjAo09WfD6XpsxkWh5hF
Vu77n0dt7JKbh8YXC53gbqCaQgJJp52r8ssr+QdhBd8KQx6iD9N1GfHoZyKFlrQig6HyOm/PklQm
nl1TqvKHCc4pSrtt0XE6/fPvR/4RKAn2OB1Zx/vvh6FP0xV6ut6IGWdBdDSNltrBg6fwH58P9fH6
z3UAyQieYqruiDzfD5UYSjmVpVJ7KP0NjgY+m4BSkZeT6OpATktdXZUjmUvo8cJzAmaHL8afZ8X7
jZjxkc6Y7szF1NWjWTMGZhmqSdB4cHCHtZ3zBe2qv//8S85f4ngQAwGpg6uSJfK46j9olHilq9ee
lJW2FX3YR4tAGP5FqhNhO43oITssUusCZ8/m86FPzR8kOQhVAde52qvb881Kgr960BBs1x71qnFd
GogxaOThGBCKOtvKAnrDY4ie+vNhYX19fPs1qIl8WTJXTU7MR0+2oYcBbKCqPUvJ67lqj3cwUuGw
iZ5Vx/LR5SBw8Pdq2vp7o1HbzdAY/ATxoG3BjvdbgML1gx6Si4aZAxhxjfkam1NnrcJu6M9cMrs2
Bc6wlSGp0Gi4mm4j7HUENhAThLrW4T4QC/KN7U5gGSp/0HtG0eA0KHK0zmuxCcJagwqvIBdeJQrx
x2kJQymp2mJhE5F4sOs23oVqKg6qM9nflUzkJGBaY3iuEjl/SIP51KSCwiVGggb4LGFE8oAPCtNB
e0Zk8XSPBD1dQZrh6C2qnzaklL0fkVOGN7VbNYAXtqbenEEUlvfUSc3r3m+1rdKKdF0Ydbwzszko
sNXMTZOwhoqh1M4dNUFfC6ILktPQ3RgCcqxJiuuZoJi1LiZHhw+JZercR4zlFTHLblC04bUfd/1P
VyI3IGqgbZa2PzANupjxoull5k58C0t6xSugUtO9DfGCtPtJe6nrgdqH1ZjytzIXgPHkpfLB1efc
8IEIteuuU/mL5gdsmdp5MVowqjNCLpf2aNmrrPQlziDf4Mo6Bx+hrqS9w+eDfE4TdtmmsXIRB+aL
bBRcV6Nsf8XTcG9O+ouLFYn4A5KkzVaJvklY6jt1rHgkdciLlPfmC5CM2l2EhPd4ccWKEaclP4Ll
Y3RsVf6+bOBzxINI9plrNQ/RPPXToRKHDAvGeZn1/tqwam3bNn14TfYUFPDc6FZuXdYbyHTqtqDW
g4iT7IelSyTa2sGbEkPedAKQlabukanNAPpEl6yK5RbfcuLFVtzdonhub2mt8Q/XbsPEQB8A7BtJ
G6iRZI8LnNY8BPh1Ry/h0nF5nItqDlrN6lJfITgXF7J343gX63YGkavCQDega0CCWvvaDe2h4HoM
IvU2zttkWCD8sC7hscXbMAjULTcv/9nH4I17SVf8C713Md0RmyHahanlXNZ937yE60XOb0B6AM4s
c4+BqTqrFJBIWjZ1O5sstStfMZRtU4bGlSBc7qw3rQc/q4D6wYRCP4IL0GvDytZ3VQ33vm2HdOAq
GvrPEpXHgtpAIVHDtsqWBo3z24wT5zfmULlsUEAcanJ5nkOE9mvA3yaqKwxySCMktPzCnZ+Hryb2
iiz0Xyka4HjZdLQkQkAqnoZqySOdTz/D9GLeqfTi1/7oIMMg7E/bUoKst1Zv9t8c3e9+5BA3r9Ws
Ur0uov+Bf32gniKizlhklNx/akkj91XWZhf46PqnGnTfed4G7iU8K+MudSWXyabBuIMn3jr0OmGw
VN+nTVDWzhX2mfxpDK3+uh5BNA5xKC+GpqIdM4jxHJm4dUiI4NpqlQVUcpT2bYnJc0V+1eRV5B10
S0sFprqotHnxSnUMSfWkgtpGBpWQdGjb1ioikXXT+b3624xsmS1C1Oa4NbsYIbPdeFjCGgDmWbNl
atBzQ6eJnK9strIgFXHVlLDqOVCa61Y1K6D8NtK0sKhgzOgZIs2gQ/jISxMC/HeFv9RFPu35tMGd
DmpqP5LSeLBifS6c+VG1jO1cRVGSxbgZuCxsCkodKyxM7s5q3GIjyfBd40VVtnWYwCnLbYM54cAF
RVqkyjWqn3qn1NSEF2HljBsfBBrVu9ancq6m7hJjH89hKDjg6CBprnIOAc99JSXLWJdck9TmbMNY
5brOKvAD2+C0LjohPIQfJA2p5APpBCUe9FzLt31BEPMCc2b5RPK29ixFDi8tdSP/N9xxcHIN8hyw
OfRU5n9cz23rFtdrvRsHSD2LyRL9JT2C4RLHIOUVB/Dzmjn8Kpakh6wFuAFfh4xIReLo0JAG3+Ip
bBZGKtXnJJHNoyBHeNVR8a8XZm0gFp8xkrg2Y0z/gX5j5oP/PTbD4qGLsmz7CsskyNRHVK6ps+gm
W/aVCqdzaCniFO0TTQ25c4QNXSdoY4siVKLO2zuJIWPdXbhS5fG9MhFrzY2oPw3duaZIfIyjVgxe
QVCDvnBKDZkAmiiIYA7Mo7jRBiJ9CoQtKzOeJk/CIKkX6gDKzSU3+1Yjw+WbbLrpOjIbfjpSKqCB
lQ6wtn6GME5ly7BR0vv7AUDhQqvbDpcn+ELMvX2PzZGf3jEAmxUCHmBLC+uXq/FPJ2ls32a1bR18
jT5IYDfNSq8IKOTtV5wtF9Ea47GSPPRu5G5zIKq3M4Rubc3wUkfKfBskLrXJebNrXK1ZKLEYrjCi
KGtDA3NWuAgUQp9agoFt+0nLKvzsJRMc4TFtdmb0kgqsXBO5kL8Qntju4LlDX0lI32UiBVd2qASU
VVsXPzf+Pdrp7jaqiXVyapq8krsoLehI94FWkBK9bAhP3Oq+MlzBeoPlp6jdC3YQ5T6bHa+0pGNt
5VDV+OfvlMjB/z2qfNjBNPqNapbahRWlyl3gJywyRjLu41Rv14o1RN/ztnGu4TlhlVdb69FoR/Ox
qxXzkXrZeMFOZW/CKlRWYxTh7ABG5QlQDOdToNQ3eA/ztV7nGVYQY7h4feqS1ORV0TjOpT6L9fKc
rBhiHw5WXWj0rMDN5fghlwUTcTOgIDuIKszXuRvLXTZKGDjISZdDrUKA8IU77lt9TC99jIs7wnpI
Nnmdy5OjTdfUgqn5UJw4TMinLhC/+OssFQFaK9SvC0CZyaVaxdkOU7P9zSWraitB6FmI6tgM4X/w
80/VdJ40BJvNQuRl0KNhWapjErIEatpNqETPdUL4EYvCuNNLP78U9TStosJCqjWCl30AwmAB6Jh6
UlVbFCSE7OBudWlFt4mILxHRKZvW0MmaaTPrEPewMzXRK2u/LgcyLRu2bryrEstEoRiLYcoE5hJo
qHhPCftaszd1O7cOqLj7ZlOe9zKFqgU1s7hriyHftCw4nIFy0Rw0U5dEHBKyW7d2R0xFOp2PPTZG
Ehf6jaFDp0WAnSt3zSufG9U3J2aTHmzasWyor/hNaZUEUTcR5UKnoydVlTNOVMvTB7VlOmXlxLHa
jbRnNTCh3hJmT1hVDyeSLmy7GCLQx4rZ+HskgHKNdUbfE6s0XUO1F3u7N8e1Q68dKarekTMxdtR1
M9fuBiRyBStdjqf8WrUH3nnFSFGZ+PyXO1OpAsQpftidtVKJMVgl5lVsIO5HoV35HsHU5jZSjWkX
O75NmTXazt/oUoQ0hEjzDi/Ao8LobKPsFqspcasOSTFTGSpb7vYS57U16j9GiuYoYvLq1kAjjFko
Ug6B31215SiQqUDV7GPlxamkoACdf4OTTLoFzvEzvgYBImrBymkFEJMAavfrIg30re9HHZnCvjyg
Pq1bCtOqWHNCDPflZCGEDEl/L4logReV/aRS+bOZrMtBJ6hbH/psPrdVOydEzCim6K4vwmlZO0pA
mhA6XAklFUMjmUg+1zs3cb4pOYY0GRsF2ATiflfkywULTGqSRGpJcJVV4hoQJd83R1rCqUq3sYyX
+flQ+udlHgaAj0nMsqOU3LrC6NrtDKj6EbSd5SWDlgK/aAeya5ypuC1NWwd/GahVg8IjPISxXV7l
eVJ+U4IECZo+Zt8bpWx/lp2wb3HZmsMqdcpkh6N/2uvkNcPzDFuPyFoIP0VQmVemU09XcWDXt2WA
tazLsL4vh6GmpT0RQjSIeo4SC8NtiuB+AxSOapyaRvsg1kZYlRIqTz1lB81VDG9KUsutV32B3Krc
OO2QJIcmf+Z4T/AZ1/FzzUVxvax1q7juqhgFC0q4/sqfxmInx9DdkqXbbKRDMoyeZTiSE3L65thf
fsXV4FvPJuFJPfHh03hpajK+zi1SSQGL1d/tmvPVYtBC/WKkbP09SUOxT5DRP/qjmNNm89Z4UOcd
0tbQoaihE+IQzNtDGDkmgR+NfMwlff9BVv0+tYLu0Ctj8lOaMRDqUOPHxQbrX3WizH5ljVCXna2Z
T00T4x50/VLsNTqeZ7XkBm4rXLCR95LntIwas12PijTvjVxk68S3yAJDgR5eFMr4knTC+aYXgvwk
d4K5E6TTxkJot4wJAaM3SfYd6LEshN2A8nhljzUrWZzGHhwauD82/NNVym67H7lVYEg3pgU9e8hN
ZBY1UXZHCAsafiygAav8gpqtQ5LfyKVYKx9rI6bhYKdUL1RTVO3K4mS8RSCW3RVJVpzJKdV3de1z
lAJeO/qBAWOldFpgNE2vZB7XJVt5IYIWPX6PUVZrbeeBuNsZyNQ6W24xPf3NyL9PDUWesSnCMKnr
+GnQjOI+rpLqW9lCLtqWikU0VOTTWNp2xSwDRrpPpLYi82vT0Pp8iS1x+JHUNqajFlbcvtPbl6B3
6ApT2T0bCDo5GJxsf+YgGcFOgZixleRiKroUupShpFuZiGrZ81Odgb/uwwVtYnlBITC4iDkMEV+Z
xs3acRD81AHBeU0d6ze8/78kfBIcpfgsF63Q0Qb5ctojXm6vEpUigxmkIcKExmDjEhpCssy/bkqj
eKYM9sMk5fmHOQ63E3YqcyPssFspea9t4SiwspeKAdxlRo24opfLMKxqkE5pQ/QaFAI7bNUNjktQ
K8x4T8FwvA1DW4AZwsmxIPZW7EKEz14c68GzNc5MPVbChWUowcYJBnHHVYf9BArBDx8+8KoM3Edz
MPuDWmr6lr+FePihkrdmZP4SqVNfdhS1noPJ70BA9Q4WLWOMz12wJ1sIRjwxLKTbKohhlCguD8Xw
xaPoQvMu6op6E7ezMZMm1KLPOVONISQpC6yFNEL9ijvIAwtycjmUk72vKhtGSy/tdZnm/lPhAgdN
696hTGjEF7O8jhQbhVuMXnO6JVsNw2/X5zf51CDb1BXqzZncSWfMrv1Isa9ERXCgHdv6hRZ2xm8t
yPNlEfflum6jYO/nYXuZWwD66FJatyapOHkwozyU9ntMkJofJs02Y7ldwywrV5Mc1Gvfb20v7cuW
yKOk2I6dkd5KVtxFO+Tl2nU7dVun7V3QoiUZhGrvjaBA8tDXP4jTEF4chOxYHASBpgjFywy3O+Mo
JxCHZvAcgirh/Fvkv1tJ6jEdvvLZqGKiOxwJ9mQRENX5XKhxrB40Wu8Hp/fjFdWSnsnW6Hetrgzj
UgE3515EKcyyZZFXFZY2ItmtTZVTRl46Ye1eINJL4Y6S9wSm0N2GUROsSkpYd7bevAwDQUzqxFGl
royaQMb+p7C4NVgp7nUOVVySqg7yISF2uyxytTXXCU/R9XjP+299I0HqIUM0i+ajCDxOhemKcsfP
hmyEFb4E8HEx++vY91472E+CK8gAvceq1WvOUCQbCspESutoP0037Q9mYRlruwJVrCZ5fQl81Otc
xf8d2oZ1ZamKft0M7u9qMJUHgrOaezjtdbiymqKKECoPPhok7ORKbhVb9F3tWo+qfGXLAAcH0P0v
ohA+VkF1uk4qGzQlbt3WZsHUm/qr0bh2ISLqr6KKUZxm3b0NIdkLbG63LkqLf6NyD90AQCBuT0yZ
R5KIoK5UTSGX0xONtO6glmy5AQxwMoT6RbtF+yhl55vNciGO4XRcjsWC7jT9VdS2p7b/2bwW6Ue/
/TVIivQKDkGskDY0TmdSn0I4HZ5EGvpvVO8xsIJ0APkwa/ffP91EGBJWqFp7hgjMa6JoKekF1Ek/
L2af6izxE841bOiK+jGw2IRF1ZoZPZjXdkiHo2gJ4GZYaCbpe58PdaodYaogz1CZGLQY54/yZrok
pLZD6+3pLPVVutL74gcpMj/+b2McdXegp+g2bysptLrEfltvTSf7J7L7XypzTk4O5h+6HKYiyUlH
+jXXjZ2+1mXtlWxg50Gr6nu9yKmWd330LVRotVR5N7sKqbXCflR3cNi+au18fPXwX+CZhhKC3+OD
rs20SnxwBWkqgYY7TxbSXvZaUsEziqtdUrr56k+fK+Oh2SNJ3NI1cfzuVZytnLE0Ki/LB1Ype7zG
mSa+WE8+zkWDHjoOMOo7M0T06AV3A4z9WJorL5LIc5oSFQZphmcipqD5+dc5MRJfwrGIcNQsA83F
+6noNqR1j6NTeCxtKNCU5oBN+a6s44fPxznxMyG91VWEqXOb2Jw7WG+mvF1mieHWovCmSF3X6ZOC
+jdO8mVE+MjnI+kfm40kIbwZ6mi54KJqw3BiqLZzqd7lJoCxXvzTktquqy6f7kcwLltM9X69qkzp
rNS68r/DaVcQysDHimkBbfWGuzSKYapgmTkle8uJy700cL8HfTid+ymHQQT2Bl4SSsYcriSWBzzS
e9GRNdEXLWWssbVxr1B2WPR2NH3xRY+TJxA208qkuI/rhEAAdOPvnyl6aYWg9JZn2oTyESKMeqF1
zs1o29FTNrUE96YpTZTU/14PSbAR2KVpXNm7OZ4ysmjPaFWZIHe9z3xOR9IGVlVkALEc9O3cLhGI
Vusm6Sk6RFDvCNWGzUhIQQcATxd7JVZQDAFuRt009SspHX3JOPGKe7w4S0y0DHECqWNgvV65QY/y
CHoHfuXU5WnpCodHtIfPwif06fMZcGKu6WT2oeBgz2LfP5prPto72rAjzyVWmrNOc40dv/rgBXEd
k3zgG733+YAfO79kYYg5PgtniAH39/0PUUF26foyKzzXkeaOoguJTVipz2yjlFvfCeRZSP3lzozc
r/SKJ15f2tqqbeuw/D+KL9C/dQrBWqTpRuP4rcNQ8wPeh3aHRDx++eMvSZeX1YgLD/8+7qHTHOHQ
OSKMRKJLabTTqORTDsYuHuf1ziYzy1k2dNnGBfkr7p8vU5yrDIKCLCQSH6TtApUid88cDT/+om3V
k78xECFPclz9x8cAc16kNIHCCG3uzJx6u1BxEWwCwExk1jvO44itaaWT98VbZBh/PE05biCYQhiF
DIOkhvcjlU1R4CpoU5qLLfBbm+qLEV/2vWVvuH3++vzX+zhRTKIdMAdA7aKVdLxtBVFa5mZa8bWs
zPCwF+UFjQQKu006c94+H+zjC8hgHG04Glh0tY63r4oGcWi3Gd9MMe9CQ3kk+/dXPBh3QW9/cQaZ
3+X3oguGQp+D40FnzT9WUGdGCEFHoRtrlOnaoGDiFmSFibSbFlPe7alVfHUaPT3iK31MzC/d8fYC
xhMyKSNWWrdP3PKpGLU7o8Zw3oY2OYitfvb50zz103HwBiLBqYMRj2ak1XDvkL5IPKVt90CqPaKJ
LyNb/WKYj4dS0lQxq5oGoBIe5vz/v9mhO0dFb8tf7XWKrtwpIjd35cCO+PmX+bhUMoo2Z5WgsrY5
N74fZYAKBm1ZS7za4FrLdW+Zxu1vkdvXcSXpqsF2AWDyhapb/yjqZlQWDrS4iHHt41fNzybpon9J
PBc4/6JPXe7ieZkQYYjBkcwrOlnNOIdsKYWJyV5MbkntWxVbOVTBLqWZtOk5Fk2jVd2QrZ6sgrLk
cDAfC6pCtw5oY+x7V+9tL5CN9cWnP/nDOO58+YG+Yx7/MPQlwzkbHjgmiO51PJJrqAwUOz7/YU7O
MnSVaOuwvX04cmYmeXt5UKQEJgjIxkXnqYl25wj51anlxAtr4cZCVYmBkDvs+wlAEJeB+y9nIcKC
QzfbR59uq8Pm829zagWCBYkeEfMeqq+jyTzFqj4ErZKgIGjiRSfYpgaLkKemSZ+72PzzUzR3RmSi
bBl4OdTjG6ojIxtjLa/omPi/5mdXR/Z1VvuPn3+rUy+Pw9tOhi1CNuKW3z+7oUlyIPO8PGlkOUTA
a9TZfesXFddiUweW87NPy3iHiqX5Yqs6tebNjnnO1e6JSw/1EzU0zC7BE61fylx5mkiJKeOHMp5u
Wa6/GO3UhOfaQ8wBFnrng1ow5TsKu2wSrwzKZJvZlrju9VhZff4wX/2bx1vHbO3U2Y7wsh1f+N1W
H1qLupvntL36EIVqsVFQHANnNLqUAr3o72PNKZZtIbvLasyTC4sIAtxpCLumsSTEM4jLlVb57Trt
HZqybRt/dbvVTj55wQ2bN9MgYvvoJ6/9RrX6LGO3GUxqhbJ60qRbLJGWNLBzncd2oDohypBKZk4u
WtJ3pJK5xY+Qtu5kl3Jf9pm5o4rkLsgJKRduyPf4/EGeeNdobHEEJTAGleXxhpgKPgP5q4XX59Ov
ctLkRi1RVPkpTezx6fOxTjwO7VVoaM2KVU7d798AXRsJvXEkR3tf+6VScFhllvpEbF3uCQhPazTD
8osTxomXDqoIKFFGgxhxvP12dQqBm0xcr4+tb6QlKEud1j3FzHpakJBX3Vd1X61oyXben39X/Enu
XJHigHi8UpowE+EdNIXHXe2isnsgXXV6jSw5WIRJ8ECwRfDn5zYGnMsAOhBFlrKjp2vTcmhMAv4U
FYMJrCpak7khr/vKzTwStr4a78Sew3icoWasHIfFo5MNhh0zjAoe7dCR45qadb8iKLVaGcjivvhq
J4ciptHAz01E/fEmWgIAkhlIek9zi/zKSqtpUQtpH6JW075Yvk7NUYMXavYhzJLnoznaoYvJJyoD
+I3buzYsXiyruiPWscacVF07bS7/+HLEAobpAuOvjo78+AXUBgruejNhI50TMVXR39RtvSqpA3wx
0ImFGW0x2VHATUxsHPNDfnNELDHf0U3lCgiw5JFA4a0zVXefT/rX4NSjVfndGEdzwgU0Gpuz/w5V
rwY0JCr3jdVYN3qLE5to84anqOJW6+ty1dhxcF/0NdhYi4ZN69QJxb9WWdd5RLvHhFALN1uDrzqm
BEnJGt6GGV7rkNvhchNa6pdqvs0aFBrcbsclWjhYmxZhypM6kDur1Qj2iJbRbiaIqg9qrjXJpsga
ghm6yoeyh37sMk5VTocF0eR5EtWXcCHCrVY3I9Gu6LQ6I8zOO6XuPAfmeVQkzZInnGwyakVQClEL
eSiUskXRTyVpGaGFYjDpzwrTICA2itvN54/31NxkF8f7j4WCPsXR3CQOuJKjzdxEK/hUDfLJCctL
01A2RlasCTQo/o3XjjM3hz3K9yjjj8azwjGvQMPknqwgmbCOQWHa9TL/4vD6seRHmBj2CQp/1Ahs
92gYc0hCo4bi6KEkvS7JiEU45Pyskns6Ued0pZetpf8I6vyLK5NxelyqtDxRLtfHBzK3zKoMUCE1
EYgo38JBxSVUm8o1anfyVGicc8eprMxfS1LzVmmOUgjEGAt5pXc7C6mvFffKzlDJVtakmS991GFM
uHKL8YM2lhs/W1rHRX1AD5SIKVi5UoN42YlpFWj+LeEyzdKZrGqRyNjECTmVwTrm86xkWr4g/IYD
5Mz0uaGvNji6+N+zyVqGjYzXQhH6Q2VYX/0UpxZazI6Ql/Aj8IPMj+zNGhGBt83yBLuuKp9GgKkL
Emu3iQbY+vOZfGotejPO8cGoKzsCVd0+9xwrVUHP2O0yC8P154OcOtrYBm52S6ffZh8b2tWKBMqK
HASPphNRDwQ9cxl/LJIQYW0zfmE6OznYTFXl4Iu77fgSYdcsRnnKu6KEdsZNdNp2ZgnSCAmCIaMv
Ht+phcCm7M9ugWXvw+E3HUeDmB2JzTmur/UGj7jmj49FWr+QWHudhfYXT1I7NS8EtyQusHipxLFR
ZGrKlOfLOS0e0hCrh64RAlD3O51a/KowlNAzSwgrhJQbN5Hqh94YoGwOCEc/dwIn2biQie4FvgA0
2j7Jml88j5MfjwWRMhL1W+Ls309boKKNQg5H5vVV+WK4wUOod7epQTP58xl1chzhcFPk+jv7Zt6P
03TKGAJ4wBLcpCXVHPmUj0q/Ktr6i4301LGV4hTuNdgSLv96P5DRu8i4EWB5EuF42KBz6/PrurD2
saNdpkV1l6XuF4WKUxP4zZDHB9Z4MsmAs9TMU/phG7TFi2umKFztfV10X9w5jFPzlxvp7NAXdISP
X3+s62A5B5GxzOjjDxmWv/sIhlmXas6S8m2wVEolWmasyOuomgXHijbLs2qUP27XPJoUVSCKzYEu
OrJlrC2YDUJZ3waTi+E/B/0KfNPZDKJ3HhyLVRMIIYgGUiuGFahtSpuF/lvtdTTthbMaSvVHXLQX
eBLLteTIFzldT6yNEa0Bf+q3JcpLNnt425/PplNPwZ2dupQ4mLfHDdg0LZsmR6TsTSVZeXLSyN8z
H63SOlAzfZQRAIzPBzz1E8/2DByDgmLr8WMvYy0YKw5DXlS5CuKYti43E7fflRH4Kcb7WZj6+Ygn
viL7+uw2BijCyf3oTuLao5NJ3Ui9hMzwdViP9nkeckIb46J5jGtt8tAhPX8+5qte4+gQivaG2GJC
rijdHe/rAXxiOrNp5tnZ5C7DvrVvzVDrlrkxWoewSNOHUsfeHptItl51yk4I3zRrJ2LE0RJtlb5H
MvvFhzpRxESVQNVnXrXFh7tvMFhTCTWXpWPy0bMZgblBlWZsGr9utuS8GgtmCvIpK127QR0CS20S
5NfmX9zKf9n2N06sYbMvHDkGJEUabfr7pYXgp8DOZJThW44NWiOzuDky0ukagWVuHfi5xE7GSBLx
WTSLIKWIrCnQSoGZhN1Vb/TqZhx99VtocvDW5aR+41icb8OeKYVtItmg7LG26HJfRhSZLNnd2rRn
ppihADxTcumFdiWAlrVi5QQHvUiM28TIh0teW5woUFunx9Bp3X2qiu9qOyZfXMxPfX86YHjQAUrx
XOeX5M0Rh3JbDNTD4PunyXAb4s/1BnuIHiNNCTef/+inhkJ9idYANzrbxnwKejMUTaeqyuZtyS2M
cFVWzmzpGcpk74Zp8Pj5WK+/2/Gsn6u/BrdXtsHj63+u2ClsyIjLQWf5zoKcgRHHx2RqW2hh3SoX
qXbQCtW/koPeX+i6ElzrEtIduNdySwDt/yfr/Mf/KlmHOrLDMvg/KIHVk3z6609ePGUv//Wfu6Kn
bvbPv2v367/+868/8HeijvoPpqXg3XwXIUDQjo30lj0Tu91Rmo7xD9BQLCr0fqiVv06zv9EN6j8M
mz4o8fIOqg3qZ3+CbqB+y4R9M8cowCBUYBUzOAHpLGLG+wk9ZlJ2uYicvVplw0GJm3LVJ3pyM3CD
/5Xl3bTrXxPfBFJrBK2vQXCvkXCv6XBoeJUrErNIvSEorLsCBOE/JBP840MVES8XyigOdkU1578R
JmIoy+o1jE7ziaIcUvEwWrK/ZtPCZFGPWYovggvSr64brbOuap2HcChIbJlec+8kTZJxlc9xeBK0
N/DLaNfNUXlxOKfm2a8JevkcpsdBJX0hgHkXoMm4iN2hY++tzBsiAsnha7vS/y3ncD7QfudJ2hKs
SWxl/H2aQ/xMP+geh6DKlvrYhL8VwyiDhRtYFXSbQVyVNmEu4DWNBhRyMJxPooZO5dbm+FtkinJd
5HHfLUSHhpS+nb+zaU+SP4/4kVDfwjDP9JCCCtXKScMjyq70xB2RAo7tN2ur88PvGhvJsDSczNk2
aE0EyUJ2ejtqYXgJUp1EwBYxZ9SnwZajkbNHgNVt1YLezWrKMixdYTBF2ykPU7EYxxCPe4HBcaJC
CQZ+lZuF+2vU1AErsFMjjgdpSaSpW8ul7ifVvvWTeFaRwu0ib9bGkDG4h3qCr2DFsL4Xqls6FyaB
BpDRaeLcdCJD6AVP10sUtXkOFd8BRBNxE4QtZ5e3VdrLvSYckgf1gYfjpnhxlDJPLzWBOHLhBFNM
63Qs2mVgie4b1/RxYaPkdg5aWKBnxkCArtEPhLunY+/LVZDhIwLOVV8iGSZKbYiI+DPsssJmM4SI
UyM8pTKmD72wwyG4cmT5m4zxseVgOlXRio5C8bsPktRcGD0nJdzRk/xJZJCteL7vpA8+1fNdZ+TV
esKjZOzK3O6eSngtV1R8CZMrc2uDhYIaV2xUxgbzHMkUQ6T1l3DsgvgBn7Q/dBjQnKhI19pEpOxW
aF10Q8MyvMp0Uo3SX/y6em8uMSdGPNvBzIkSP1MnNDLRhWqLzL8IcLCC68G0MHu1vvdWb+MK0vT7
wGEMv6mIfppuzTk0qX/NT5KaxiXfz7Vyo8wBS3R1OX7TWtyPkvilJksyXm8cMGNRL8s5pAlbPd7I
ObipUYlwqqTmb+I51olgI30dzVFPdWBkq5T0J32OgSrmQKihMG9AwaC8Vq2zaQ6NGlXiozjYz9TV
OVOqHf6bvTPbjRvJtvYT0eA8AD/+i5yVqVmyLOuGkMs25zEYwSCf/nxUVR3YUh0J1deNvuhqVNvM
ZJIRO9Ze+1tLvpRaoqbqsOcJdOvOvDTADvkbIYilIhY02pFpNRztqsf6hKJ35uhoPJdLpNW4hFt1
noSW1VRzd/JFJ492TgzWZNUkYmVLOJaf18OtEYmbOeXFLEjQmknSskjU8suw+B72jbvJfaCSTZaL
e0Pa5WU5MngvlliuDJjcXf+S1RUusV2RgLBlvkR5LaFe+RLvpWx3AA9RXDskf0VLBFgy82IbjXPI
SQfzl5iwagkMizu8WvlLihgBHeGhn/0KdiAhYySljvd0MdKNuUSQBUsYGWPQah/aWNX8xarD8lRA
bmYqI8ABR7cE8hbMKCEvPED+207npHtVhDg7peti6GbqLC2wVWoaTMdADsE9ZhZ5ake/xNicCNYU
OO5khGZebPxhzhqcK72J+YqBbu5cneTXs2JtLBII/g3i60HS1TgfLQMORiISvYvtWa6Zp2D8VUAA
YNKou6ykyvZBXy2hgfYzksKExy5TO00ffwXMgSlOocADONwUpvlTMmVmgpDXflJyt20izPo1lPro
jyyb2ERCR6G0ZTiW18wg1+cZubtXuQjH78r0OMTUxUxSA9leJsNX1PSB3PUirB6Jawiv0yEhpzPh
53/MQ29ne9K49ApdX1lKZgSkJuY96JHyp5jc4WtgJe5d0On6puvSZDtZnbkrWxIV1TyEZ7npCjAP
RL9sMUcwLI13Rd5lrtMcw1Q4z47gkabgG8+h3KJ6WK04aMbcr4TwijXzR5K3apzu4Gr6ISdRK7tk
AoXoAtIszoVXxgcz9fK1ykWxYXqaJbNMrqxI5IcsNrJro5BBCBIwDEildZKNkw9kycRDOgPnaNNd
RabOJXPz8eeU4cl0VbWeeIKPn4G7M1R2bqtCHIQdM2E2W/pbBacQZHA73zOeR8xmnAc9JBcMq2RY
ic9dMtrnM1GO50RtMlxV+ubSnevSW8+X1p2dKHs3N/RPJ2a+oVdPQ/ql7Vpx7czM8KaiYdSDhak7
sKPr57ToSrDLbiBW0rf0dhydYo2HZWZqQA5Hrx9uBmY988VqbA3Do9n5ANdXE364wnycDNKTDw0T
a9kXSDgEnK2HxpfsRIUJOmpuUmWvakdWW2n53WZyFI2D1tTz93BQ/pYRXXJC+owlmCY47IG+H4HC
ppPcj2Z1P2rd7ZmITrY8pKR0paLcSIS8G2eJ2gGDcZSJ0W46v//LdfBfvNkHeDMYO8uZ9P+ujy9/
qOfvv1XIf/2RvypkEgA+gXikOoUiteByOMH9FbQFFPm3tAC67kGADPCCO6OY/TtZy/tEH8zH6xG6
KLZ4Wf5NWQxV6lVZ7NOT4TIIjyDNbGhav5fF6eBqhZDjXASxoEqFv3E2OZbRQ2UsSfMlO6NDZGqO
vhV1FiVWp7bmjDI8olKQJSy6cxICpP3IZGABgrEkNBeeuuOu7ZaIkY2kXnxwlKugq1T9ZkhwQVFA
23odqZC3s8W3DE8irdVeklF0Kx3RfK1VrK6gmsTMDjGhJgGh9UBFu7gfd1mFUSzo8wpMScE4WsCz
vvcjPuKqJTOkYGSxgQtqTI6+dqcpwB2hmX89oCbMzP0Uufktl+UCaZiK4nsXGN1VljBrtBrHSl8x
zi7IpkJSMgHLVEsTjhCr4KyZenfeYZfU7Z6QQf6tI8DlHiUhWddd6jESnjDxA9ummjQZvnxAaMDx
TO5K0xF7fWOHkMkiN09u57zA1EE91ubgRTdjWoUJeNVG7XP6iQfgODUIDLeZKX7ZOa57Zk/rjeH2
emgvSFz+PLTtEMycXmKTzOkDQI5MgqC0EyfYhwy647fuSU8AXp5XfW2uCyAXlw4oIHpAA67dM1dY
DRjGltEuhp84lTGuu80gRZf6C2K5K5xbVTBSTalotasQXJdioL9TbrQM1WfwcNom6WHGhG1IAtvS
jE7WhLbk8VVMUj0ckYbkeog+g2NzM6UKhnNhGorImo6arzmYYrTik92TE44LXqjlwQlofercm3eG
hjWxKiriI9RxGKRsMZdPVT44/aoXQo2gTYvRHoX1mMSEks1fCXSc6v77wHpegRkp5rmM/7Ri/HfB
+2jBw7zIivF/L3gXDBQ//5FK8WMYxK/KwOKX5k/+zXWMPiGi+mipHic5y/yV6/giAZDAy2IGVc9z
UB//Bjvan+gjoAnxxzDX0J7632WQ0BQMP3SrsHD8tZD+///3m5AoXv3vd6mLXAFNDbF3iRo0X3dx
I2diPrc1WiKhy59pk6Cjhk28ykLzIxn7raxmBdDvQbIi3+GteaVgltT17qwtrmTDcWCg/KnlnL8a
41Suf/kdrv9UNj76TlwD+xamGsb1lk/yi4CXDEY8923RMhdH1F4szSuhKsIUuvnhX1+IIShm1xZF
0nzTX1OIc1FDYOthEsXPoix+UvP9zPnv/+QyYN+XTjt+mld3jiERhk083R4wC0TbKOQ0JLA9kyIB
P/bfX4r9jJHKyMOQ+todBP+pcmEstEA4SfjTJoslPpfwvK/zD77Usrv+IkrxTGNPYPOlyevgcnzd
5kU9CY0hGttDOrLo+XK6nRL9AJ7joVVg/9//Wm8bc1zM8X2feQ0/il5v9QaxX7ybTXuIOgENWVRQ
+0JSLRojezaXrJYMftDKmqBnvX/hf3joMT8tE4cvPY3XP53fNxxL07o9tF3W3ElmfDlMQdxhUM75
oFfxtjnPd8SQwaoQkJ0dvHItzjKXE1MwLZZ10IAVyI5tbpvx3X/whX65CkvWr+8WuQ8kc8iSq0Qa
ElSvH1QF7Lnu/7Nb98uVXj31Y1Gljaq5UlrKaePr/HluoOV9/Hq9Hal8yRtnmgGXOqfv1+2uRDLY
7Rp4Xwe8TUy8i2Y1aNqZo+M+dhmD44bTMsKcp/bO6yNvzZjRBwZtz3z7oOC6DamMoyCiun3teETN
8cKqaSv6AHazac0l/mSCVH89u9VEdqLZbKyot3Ywz7yD2cMUz0viA53OrY+qw368HhuQrCEO7HXf
1EyRp2Q5BDlprgtudyeD4ueEeH2WzJa6aAPiH/p2Fv7KjgifasgB301pXG1NCoy1ZN77EJBAfkOM
oP2lCAhk8uI8flKVmjZUi94hDmD3NRNAppFj/aYINJWQmCRlX1HrcKO6xD0bBszzsijrLe2p+g5u
jXsErjH+0cVsNNbg89khgNxMFH2nMRQqX6dBmDbIJSXFKtQgLMF8HoPGyXMV86ULRXJQEyXtVWLP
zWZgGg0FzInjfGXJMgLc6gzR3ocrtOtMxrNzBOaN0QNEr0y+3bwAzCum3tfBUNvrOGB9S5MM4AuU
B4BCGiR42jYDohpRR26FJoLltDlZJlFZYQVUhzAxYx2UOFKSVHknnVj5UxI2JezzgiEp4bRfO7+y
v8R89xZqvtV+bSuXnG4/VjGTKkELxttxJpYb7bvQvShvywciC71TaIjqxjCy4Snm1oCT6dorX+Y/
TYvfVIJV+AIY7KcWY3xH6EJzNi6rcypEc5rIUip2fQluleUlKlPIeb6+pYB3z9hUyNBRVbZXCckc
VCLZgsKT9TFLGPBduZygLxOnja5yn/gwH2TnpQXacu/LElOTbYxhuHp580oByBByXnie+tyyIuMm
4J6Dwuim07rq2uQ+nKGMAGDNiqcI5tGq6kg9gBCYozBCN5oBXvV+uc9q22wvLET6aOOnsXpM49aI
tralRMg8ZJERKWHW/Tmk3PkL5yDvXpMb/tMO0ubId5y2YFTiFefE7uDmVvTQ0IK5d4Au52vQBh6c
FtdDc2XiREGk0VV03iOe4+2y+QmGWBce6MY2aVaAegx0ej96EHDpSUE1Z+K6XHbZGZjTfuC9B/sB
gCJ9wIGfcFIL6/w5woKwI5hWXVDSW6TsRqrcCxXr27GP1OPcz8WeEekBi6LR29mObAhv3s55WNBf
EAmnOl8X1jcGXsR3e+bdco14sjbl6InPnBgIq8ld7xRMJcu4bviwPclzR98kaQwFPDPWVsEv4aVJ
8dQldn3UMciiXpOwUvT5TzsEO09WknPkg1g7QHoTZ0LRjZu08tNLkG4a1YTsiByMDWcYdl+aNuU6
DftwAxo7viPzGehP2ur0R91G3qEufCKm/dSfz11LPrZiUnu8i0DsIsmDMBMS8RK3JkAYEm4OVEhY
5R5e149B9sEmFfqOPPnD0KhvMp1IQal9eyvj1j+xGwc3qeSltGo+lmmV6kINfbRNCt5zTOfxym6D
4gu63HwCKbGrZuL3kpkwkTWRckh7RZZnK2coeahZFVGxypb+kcyjK4e6dtcZvPWFLKeNoiO0cgQc
17lndavGQe1fYtpal+9tV/kz6dThVYjjnPxOaHCOGizMJaN1n7uxcyTomquxoD7JiHg8c4m1U1he
CVZCll5VYRcxpbHwGoy+7OkGseakwGNvLJ8wINcktttjoex71g+4d8HNnIEFtPt+2sRBV8fwYmR4
A9arP7dGkMUgoXkMZdR3+9IkySufchYxWzYbf+TSfdP0hwxSyRq6wvhHiqeQlksNXEiAQ2IIcttn
5ZVDxN8uHWFipqJqr0S3lPaN3ZxKi1w7ZPhUkk5muRgduTtZHI2bCqlw+7Lqjmn2dShC64c5slqp
5RnxCPy7LOIhu8w9nezUhCkPjltOsJ4xeLBmvZ2AcbgGRGOvPZT+fTc0eq1mv/mcae7QHMT1RptB
v2bDHRk9G1i5S7PvGeLy63tFyBr5FXV9jGdZ3QjJ2mMkrB5jxEtfqIp7HjVy5+T4L5NaZZdObJvf
IksOJ7VkWhWNvAoLUR6EbyIrpLiQqigxLoY+u3IyRz0aeS6uJp0OF3E+fwGYNn4hHpZMDtoye3e2
vMMcZfO2TrvqCnh2fF0WX4MOAFfmpD+bZAFUDNln3ueHXpnJwWYsEWxq1a0H08HVOwmbQa4p2bO4
f6MdIom7ZdNbfDRnRpaWD6Cv6mNPYNODWYXWfWZa7TI0MjIm/rLIwkDE3cNvsOP4N64Kn4YG+3a9
Bl6h5QE7k9vv6zRa2VbaEkAjopzOZlmymOWcMzsekTyq1lZiFmf12JnRKmyDxSYNAHszqW5GMG4d
HBtO0g0mZFJaMRAn7c+isqvj2DnVsSE8ql03oeyOpKPLjbSwU5WbuNOMCJ2m0dYVHWOzJHXGJz0l
viXJBCiOWeTA5NxMVelxzCMEXZKFYhUeXSWJl4t96RDWznEA78pqhkuAfp+nIERVUf1oPSYsrCwJ
CE4JWms9TuASqW48GiRCs65P4eKMWA/9MFyTTAuHLHfB/q1JHsrx/6S9S1KYtFTF2iOewsIshnWj
y7sxdzR0Lssn+4X63iXQMyAFsF4CNLPW/OaG8tDmeU7aAFHILlrOzl6iA1k41A2BIcaF5RCfsRkC
8usNl0As3lPbWTU5Qposw+Fgd8y46S5+LlKvAMFNKrgNCG8DodN6pMehSZonxXilE4DatWtLIn8I
hb/kdU3+SMqAgbJiCRMpAx1R3RrGGb0rM9wFScX65vos325CdcKBzR1XI6Aeb9PyhQ8FxpFqHU6e
2r9f4781Gy0FMYKph8caj8LrU2DLND08elkc0qpyj2Q/Vz8bB+LUahxIuazoXlFaEdXObUtza7ik
3cTpiVTEq9airMr66pmNqz6GdhduJpujjsjaulqXk/ROLuS78xoL7HnhEyU5qC5rVwNpSSRg8w46
kJibrUt/9A76iPvs+DiWVoRg0lMzrOBmii2W23jSzAZkWf70sgbWNZD29Tgvrb3378Vbg05EHRFy
oiKk1naY5P79wCNm8M1SmOWho5jY+PaoSFmTZoDpnJoJVnN2OeGkpQc2U2MVEXBzFj/vNDhVQpB4
9NG5+Y03b/k8CDaMBTLs/WZkOEhAJJNEUh76ygLEPZ36gv1lDEgALeVtPLHlv38H3hzUeRiYweJK
WFiQnV6ZAYWrvCoZ2/KgOgrSGpowmzWlCUFdzcnAKHD2/vXeupaXCwbeYnlEmn8zg1X3FHskSy40
ACDOCyyw2WSiViDmebAGwDPbQvCs+V44Xr9swSMcVX+f2kSbphZhWxDwPSJhO7XXUIg/eCLenLNh
M2F+ZaaZN4T78up+MMox+nhLs0PEeXvvGUlzat3xo3fwjWLBVRAq4C+AVcFYtPwqv2hYMpMq9usm
O2AucVY+c7UMT/vEqtkRRb5fwBidcir3tKDifP8HsBel4DdphiAvXn70H+bg3vJpJqtwmcAbcYeL
MYkPJYaScyOOo6dKUpeKZvSmq8jwooeaDkcRTd1Po/XGLQo73eShIcBtWezIa+1KGTrbBNl+57pF
f6D4jc7zphbfiRiNhzMjZrDuT8Xlv3r1R3o1U4s8JO/o1dkfTEo+179J1X/+ob+k6tD+hLGUl5ww
bryr5Gf9b4suMj8Bz7IItUA8Q9/2acv9LVWHn5gkxLvo44qmSbg8qn8b2axP8NDhGyzSJS8N0K1X
0vR7UvXruVyULXJT8NehFjIL92cuxi/vRKcNGvKlsE5166qhW6ukyvSh9zilx6lZM8DRpBO0zLyw
jJF6E5qCbrH+9/jPW+8ZKH1tWxtCBpbaxMv9GZAJgA43PyU22V2gQ2khsd4IvL2/3Ol/UKRfraGk
Mi7YuMUtzsLhsWz8/jaHQo4lgwH9CSCXvrVSwpQ9aqTzSQXmJWxTjqXvX5Cd4PeXmEvCVFk2CXR9
n1/zlYvVyErQ3vjITr4fnTdDADOYjG+WSSb9aEaRxWF0B6s3268Ro6adXktXBe4hokcf77wEyupZ
HGQLflxBglmRYYGIYQ8YBcI6C5xtU0tOW/Tm70sbctbejevmhK0MQg2CClu2VcTEcXd9V81rD/pa
sUvGmntt+ErfljOVgW3N3jM09Eas8i7kUhFaQLLtg3ip+L3YslcA0JEEfH4RKttBSLljZmS6mPzM
vu+JmQQl6rDW9w5778T0LnicAc53HyIirIMEL8qWGQV8Aigq+tpM3RL6VJrY95ZFNAchjILvBmO0
+2qkJAwk/sjH0ARwaMIr7ParrUagmH5jd+mVTis+UTR5zhm7bKo/990CheXEa1v3dp5aAls0HYlL
hgkDY+cHk98+2o6s0+PQC56/RJQzWlbgqdu5r+17qFm2/tKGljaeHHvgzmUCaNRq4szUnPVtSHmn
QJLNcEgNLl22in/byoJPB5GfgkrPnYlhCUZleh0rCzmvgUOeohI4fH9YX94zTqf4QU4cOBRtY2yO
o8VppoOVwPgWf7UpOm5SNrn8Cr5Lq+sxHdlrD+5sVtWW++jItZc53JbMKBERtDd0890049vCQOXZ
1gmPYpke5+UnCZabE0GP5fcDvnqKOgNhIysHI1iDUB0vUnKBb4zQTMkT0by8GOph5HaEb8CJ6Cde
wjJC3Vj1jEUHm0bZ5daNg2RTep0FmHrU070/2ANOs4iDUZWDAydKQDbPST54F9OU+A+GCqzLUbXl
NYz35BkPXnZAOHbDdWbXwXOdFOpL65i53lkzj2w6mvqaVPohXKf5UlDjUAUNb2vf01tSr6IHgwnO
4cbOZsPfeCrgsVF9wO0ds8rvr8xBe8wDeDTBmV+RnWPBiCZoeCb2mCfS/gO5lN8ucygSfk75JNuv
/GOV/2RAUN9mlYm+4C9h903CMyJs0rzXHFut+8lefnmsSx3RtPHIb1tgZkTDJA/mK3eGlysgoGTe
F2SLxjvazK14FLGnbykfeRGMOeAGZzaTT/sCIO3Js2ckyVgLDtsqRzDMYxungON1B7l4MM8d4k5w
EjWSq6BQ5TOkC4Eup2mnoyVHTkVAOAT7U50Wdn9Pt9kwHkjUmbvzwe6N/nrC4BfviGBk+Z2xTUWf
M9esittY5f1BV0bfoUQ6ztmslpp+niruJQc67qU2R04BUbQkFtOD6g9xGZaaqiHm7Wk7xlDXLw9y
Qaiw3hG0wHvsq+WlGHqXv0WPDmso1lf7PpOG5azpPqX+oy5DaV/lccRCESZW0fwROKN1mfohQj+z
JlzTKJJcQ/NP+vypt/oxaVdg7YfvDjbX4kvPCmGRyxPPXn/VVHWNC0wnBtbmoIT9v7UL5p5WcITy
o+gCfvOh7K3LfJgd/SWUcVf88ILathGAJqwV28pUtn1Vsf/M3cqWkL7P4toOycPAiWuaZ6ntcEAH
lIW4bjBz/ZTpmeHrLAkva0YjHj0l4yU04C5geH9cW1UjP0/NZGxJw0g3PBhi7cgkPXPKKN6giuMj
qzKmoizHmgh3wlx4QHbxl1nnnJhRNGzONjuX03ed0wSY4ppFpjlr29B8WFwea6cynwx0ltVQg7XD
lAVmPx11eICwnXwrRRz80AnpYthM6yuIsudy7LtpW5S9vgHPmjx5jqq3FZvUhrLPuaXpVj9Zblrt
7NpE68GbQaLcEPTXEbGiQDUKDovEApUXWZuUn+1cYI42xbDDY8v5W2mGyMkBgIw+tleqnKtzD3lh
K8egvGFZb5/ySKZ3yi2vx8DU+b7v4D13E1hek7pzr7Imu0uEX36G0CGSXT/U9TkMIsTXopuPpREV
u9BBJFDgzsgECJBOMuU092w67WPtVW26yWdR78LMbL6kvr/cWrC8Kzpzsl77gdSXra+dFdbJCip9
IH5iYes3pcSGaS8AF4KQ7EsQ+YG7SU2ykFca23e9Eb2tUEOrZh+W3bR0uZzmbGH37xLPusnjpt2b
zN5swAy3j3nRI/1oW/lnNcdhtZ2qQF52gxvfRW3q7w0xFzuPZO81vMA5ZPDH9y+NdOhOLNjTgYnX
6Ww0rIjptWLcTqIHmW+7ct3JKT+ktfDvVabm76ZZ5qcojEiIr/voo6S/Vwcc6pOQ2DbmJBlLgDvz
uiSaqsQd8KS7x57MG9z0hskWw2PLOldrhCOUD/7U2qgU/2wi2+nD+yXSq4M0HwB2Cv95OdXCvFk+
4K/VZFM5IZlWhKoMLWJKvYi6o8Mu6BoIwrmpmlPMMvPBVV+dHl+uuswVQUgifBCyz+9XxRiVBuno
RceuZBnPIGR063awKXLe/3av+okv1wGzA4eJcnOxXfx+HZU2vhRREh9dVHIWdbNn06h1+9XTMSvW
v7/Y0nPmdsJMeTPEZLGIGAlV6DEs0aybJiWgfjEoGJmMtu9f6m0ljSrAKC+HAZPhmded/C6JgpbA
G0jf/mRd1otr2WPsFh2QEHoRoLv96+tZIIAsHhPTB235qqsOi4h1o6w8IjzS+OHPPbBOTbYsr156
KiIDXfzB7Xz7jNCF8/ia5pLxB4bu99+uqd3O1GXhH6XMFl6x4Zxpa/wI0PaPV2GYLoII5tmcTH6/
ShnbYx1nwj8mA2LilNX4v8MPh1f/6SocKEOgjsgZb3rrPka4zjP4Li/OCz+jfWPr9j/4lQjMxaIa
ctrhuPnqjhUdrVlCRLyjHZMxzcgjv4maRhriWDqsy6HVav7gSPd2+WBNZwnha+Hy47K/3746U/E0
lr57ZBLDf7SwQ9IbVZQiEkTCtg4n0ya0ambxev+BfPtiM5mIZQZ6JeSnNw8kwDscji2ZMoXk5Yob
lqnBxzAz5374AWrjH74iDwfWJmpwJnJfr1UBtGwuVdlHTe7FGnBlc5oF7cnSXdTn5QSnl6fm338/
oAQhDmEPO8Zrm5gys9pJiSA+lj42lrrCslCaYbrnoPPhi/aiov2idLFKRqgTjHK7QRSEb9+0pedp
8jrTKhVRuMqtygNzE5jlbavm/rLJ8e6gNVMm65G6jsbbJC5Vp3S8o3/lcrho6BYmtvjOuL9D1TnX
NN/Dwm8/4rO9XffAUzhQEljNcf3Zy3v2y25VZ96YTUbME16hma6zOGu/5tpguwKtx6OWR5T17/8S
1tt3d2HrUVciReJze+1JSUr0kpgt5miEBrWuDh3ODzDoB2ZvLHastI2X5z3PrMtOlt1XpciL2jhZ
pG87YXclIRVy7nZUSdl+YCQq3bz/Af/pnizOSXxqDr/di475yz0xO4a+VMhbX80hRbfp5U9WQqcc
vGrNJF5nfiTjvHn3MBUubwNSDo8o6NPff4QuE0vRT3iPcmPyZsyclsjU1TymemlvvP/t/uli6EaM
vIHsfJsCgJUigghG9peG+nSd1yRqmSLklOOZLaek9y/25qfmmzFe7VrMKlGLvWYGVYVhtSI2J6Lb
PA6WSTbwZPEickp8/0KvsaBYYVkul70bPyM76uvChHC6TPttMLKB96m4NjnDybURigFwEPwVcWpz
hRLiJi4+EyziRBW3xNqhJS/bYNPp2zQr0AmMkcMSzb65/ToH9I9Nw0fKQvVydiZ4XY7nXcHh+CVR
cqibqKn+7ULsL/BJ2mTsa5g/X1ciGVFZbVAJcbRn+scjXYpTRct8n5gEpL9/09486FyKZ8ClFYCk
96YjMiSmPSid9seeFIUzRsv4/jDboi1kV8z2xBx+pB8uu9cvC6PLtoZVcpm2Dy0MyK9/pXquHKvr
Pffow0D8AYdQHXs3jh5eBBE/EKg63Vx6nxut7Q82APv1I+IuJk3Mmg5XXnqQL7iyX95rt8RggM8l
P1oWStK8MfPQBzU2EYfB1BPYmPCbbxWFu1ENzd7LKMEKQe5Xkh3sYcJJQTrKdGvKChVxLha9pgOC
T10ve/55DniO+soX+V7y918HxNrX/E2EvB4i/EC0iQvmR2+8XNDjXx4v4papHqahJ0VO9WR/rmxf
QCobNdKYiGnengqEI/wTnUoWOgIt4AvSUop+Y1pFdcO8SH7Z+4Ox10SMXoMuNuY9OVM0d9VQz8Dj
OtsklCk3iVdi1I/QXbdvz4fCDSysZhDgNg0AEA7Qc3YkD8hau6r0iICVVtqRKiM7gifQvk01Ns/O
nC+uatJqEY9ka5XW97EnXPM8N3LeF6ZFFjF0Sor0Wk2af2YMBC+Z3yBRYtkhYO4AVpVDSd3N/Nu5
C/4qPlURo7xE5VLXdC3vWlqX3vQTtTwb14WVLNbWqddRcZaEhr5tCfFLr3EJlQQ9JZ0abgTmm2qD
nYe3u7GqtrhtZuwkm14OVrejBalvC9jd54nvN8UtJgDxnWBMvsWI22P+weChdC/6zlqkqJG8opU2
M/4gX9179kY+7h0TvC69QTt3zxV3U6FoSLS5rCDeeOe3E5dHB0G5GuYUITysJt/ZYh7kb5TY0HBk
jU59xkCmNO408abzuitmdq3IpG3fkQzrCPuqHpU33FoZ4Wibgsclvea4yLitNQVju8a+554p1QsC
DOWgjPXc1i1hYfaCtpsTnqC6Vhxx7WDMgnNXxRZD7oRAx+yrDBBfNn2JphUyNzrvNRgRe0W3HJWR
jrPu763a68s9acc8YABZCFoysp694aUOQLPn6ZsTH6kh9enCHS0/cKYTM9ia4BZi3fTPaJjj63BW
2EpfJDivlHwYJ9XWvZvb3nMWp2m8FUQ2Y5V+ea38xTJHiKZzNgZOHj7XcDgJlfPgb1vaSumCsit2
EEUwNqx73+Mp6kJ/MZuVHvfVFotm7uRCfsOcPDJPijHx+s/WDIkVz7HnLIVE4lLbhU2Ay9PKFyW2
R55nTIjjjyZClpHDZfsLfInImKJdBecesbbzqjAzne9IHTTFCZ8Pr2nVGnQaysnlxrqxcp1dHtlJ
diPqjg9imWgnu7a0BSFWVqefpA4cQyH0eEVxGzZAdy88XVr3fp7X7po46Gz6ERp0Mrb4xW33ZrJa
VOB0ojYmhMIag4r9mDYAU+kpagHPiks3B1umOzjBFwrzgtlMRiUbmrhlplojX8UxRoE1S7iXH8te
oNZPJaLkDgVtDlEEcJsdK9PUSG0o5EOIQDZLlY9/7vj/7ZN+2Cflrfll+30D+rjI6vqHaIbn3xul
L3/q70Zp9IljJgcH2qHL8MIvs4xR8DKdA7njpRf60kP9u1EafQKCSl+dedfl6Baw6f7dKHU+ubBL
PVzFABsj/uZ/1SgFQfr7/k0qD4dgkOIcGGD12C+W91+2UAdbQAXc0DzVptGknSQN1jc22qpj4m0s
3W4LMB7NirFb0tg1wE5yv9rBIY6sZN63mrOaPtMkLjSWqajBVY1ZTs8MqD9YEdXVhhm0b0loJ58r
LYN1lvjeF+W6wwUJcMP1DFQo3mUN8Aw6skZwkYz8S0IaddTuDfADh37I61OQ6xmDK9Ht/eB8M0Y3
nk50o3SI9GcP5yqP3PqzU8QyOBck1Jrk2fujxKRVOUuQ/dK8tYWmN9aYqyjHNTcJIh0KMW2c3nRw
kjvyK27OkV6TVJVxUTiZt9QC8D93Bb/tHbOOlb92bBzHIJzi7LOVTtgK6X8RMprlyKuu74nvAMy6
O9+V9pkIhnRv65zMdPyIpJxna2F2GbBzZP19bmf3U+EU135OB/PA/8W5mDCMVptBOxmxzw70UZzJ
znawjGdduHoVmnk1nrFbsFHUkbMlQyXCLhmST4hO2HnbmWPmrWWW3oWK6EdZgwysMxlFHaf+OYof
5ioM7trAi+/7YbLDM8YwHGMD4cUrT6VwWZmJDM0f1dinYFntYF1g+eIetGrVkaF39KOmPA0tY+QE
tI3ZUtnE9IanaTwNcoCRYCRtug0yf77t6sTNzH1MMPehsHzIlz1qkT2MYMHGud4gHqmUHLou34VT
HB/cprIf29mZKrJ0jfk+KgOAHEMyBtnBNcywfIC0LGtgF4zpmlvJHquNLbF0kRB7eiOTKc7SxKuJ
AspLL7OeEzH3Cb8cmbMemE+ABIzadq17SdL0CJwixsaPK/sM7ZrEyNjfRrR710XRjPk68/pk5TKQ
uk79aMBQPYhwtWT5kK7o2eO2JG2RJJ2QCAIjuC8Y3608+yyR/YW3JOLO47wKsubS7eYOrinBrbqK
j0FR72oq08+Gkd5oHFurnsvssCcPKwYlvlrmSDB7kMWAVKY71HRx1hHeup39Lj/vKsM8az2wHUPc
2ccIxNaqoJzdCsZJST/S2dFFStqNYZOdjHKaz8yOV9P2S/szMeNP9RC66w4uzypPBwNXaq52TR0M
TOY7Tn5GVfatp5o49pmbnEjQkpt5roiBaqc97bO1cFv5P+yd2W7kSLZlv4gJDsYJaPQD6aPcXfP8
QkiKCM6k0Tjz6++iMmvIqtt1u4DbD91oIF8SmYqQXO7GY/vsvfZOLJLXR2s2aalVYdxovoZVMkuo
TU5+2kvzSiAiwxYBYcJp9AUXnsq9kLziuMH8FJ9pc4TOmcJObYDSd6lGOXmdGgFrhigUKjNu+e6z
U2bPpKojdPYjBo/+p1w92h4FqXgck/FAvTL5ER6QVbx0h7ppMK7aD41V3Odeel6MiLm018PMXB5T
h1ZUvfWv3Hi8b/30yEXF3Hj6vI0zXv2YOiVvEE9t0+y9ebpkVDQGvt1POyULSuYjlmlxJJ4dnMlr
PWa7McriZyF0Refx6BCpSYBDaHAgGsMI/Y56zIa18jSn3kVI/O5ZCalGp2wrgCgq7qiDZ7k1qYrl
6DDy3pLA+Ph9OBRZlW2oJX5/8FTxtbhAvRjy/StqnWETKDZmVCJl14nfZQc8UsmGT4VxFyfNHSiJ
rebxQy11dT15Ivso1tMs7yOXRHLWaicpTXGfmo1zVcsuCfmFMdLA8MSnnLzqWss4Y06/kq40DrHb
ckVJmyKARAVrmcXlFa41a9tyrN911iiDeHH8Y56595Gj7liD6zuOCe9UZ9oISiV3uhfOlX5jDm40
BNLqsuvMpH++6fJur/OL2ul107PRspN7a5r8i5p03A1aR9c99cexaYas5HBclzvaMZMAdL5LS0x7
31JBzCuUBOQzs11m5RbfXi0+EpFe51bC0wGeFDEJao+y7rEgg7AzyyV6GPPxIrVGhROdw0/YWp7s
2GdzpA0f7eK/OrF5NHvb4X3cS4jPMFPwBe4ggR9rJ9v7ZhbxKjbi2jTiZj966quyZ3trq6U9gLV8
lJS+8AbOWSSUgJNOdjPq14lh3fe+PBdt8uzklD6bxbLVgaMGnLRbIjPvwh9ZvQo7zNezVGrerdda
+xaOxv3Erw6L9QDdnWPUe8+j2HgtKH7cKMvlo6YJbqzucMGWvKXR+Yrbcbezh8Y8KSfzgmaQKWtz
v07CfC68PS7w5ZjU3QHo4dWQRvm+K/Q0jH1NsqrUdjzMinCJfAyqeIW5FopefNEe3nFg4+q9nhdd
3CWl0LgJq+ZS9ORJ5nGotzKzk085OSIczf4Mc4lnwlg8GWI4VFTd+8PCgzXziemo7mFAByUaV34N
U0UD1/yauXmxHfh5MA7UeQjKMj0Ns3XEbGLsRBJRVBbb9nI90bo9YDtv5KbnFnayUzvezZo1B20f
W29R3ct71CP6szWWs3Lr5ZxMQ2lVt4C88EPXiuR+x3NNpnCI5xrwALh7uat62Z/NuIpweZhcXno9
DSJLe0q0cX08j/GmdvxA8+zrkSDvM2aN6kaP5UA72lwInLrzkvX3VaZ5R7/NlytADk9i0uUnGHHq
xqMSb8TOdkerDazCgCsvRD0PB56z5nbo/K9SG26NxMWhLsbuvrWr27HSQKHltOTOSX9DVvelVZba
0cNaXzWL8+K1kFpBLFyZGuYXhMthY1ZF887xKg4jXvUP+GFqiw9KQU7SzG1WD8neKZw08GgRD8sc
LlPaDm9+DJSi0j3tQjtv/kzADFjZ0Hq/HKo2Nj1r/MBOrOKj9tz5wR01jCS992bltgxLr3SfARDA
zIocPSRglT1WcaXjp0A89V34kZZF7G4S64eIX1gWWJOV7xr233yu+fZibjDbMvshVf4565p77/vV
8GK1sDLYxF8TSbOJHfDIdjNp4FZPqR/gUqxEIHVVnLBX14es7wUzQhVfDLM4dHmUh5rtyi0Ljvoe
c0RDA7GX9HfUEnuHxXWaF23xD5QkT48DmbSd4ad+GvpLnp6rrvvR5N4Xp3NBVtLxN9zh+qc0M05O
Zfl76ZO3sTF5bYkf8YDgcr2BdDqEiW0iv2h1ZuK0gANPw1BzzoyWgveunc8lmbDDWBvTxk2aryKm
xKufitS4lXIwHjggWwxjvVV4gdONSbEXVYyvAmAHD69Wq94aNoen2JntXcEs+LwmamYiFoW3hgpm
C6SbZXwiqDiftKQnQbN0MaUoCbkaZPMtule+M4mz4XUiEUMuETDUogVpT6LAMm8iLipwR8ZK9dD1
WNWXTB4EutIhTmDqGuiSJ4VHYpeXQ/wA2Qwt68KgFQL/e1b+csTW/oM1lrNvJJjzkn0Z+ax4NafU
ZrBMth/wkNzzW7uyM5hZPjfZTVHXGViz/n3oBCmkRfZBJSOL6nJCRgpkUajl9SERlQzmSHYBPrfi
YGE0CBKVkcDQx22krOssySxsQpSlFtLxTmlSYiPs2Dflro/NLNkVA3XcQEzFXjc+e8hTuw4/BH2R
0ROqUxkUjbmJNGGRJJTUE9iKREkWYSuYq63bAA2ueN+VxOMCFmtGWGuVJO49bPAXNRwnqR1goByC
tiHiu+TJ+wjeyWHA3+keL3HpyyeiDPUWigLOoLQ8jQ7JqczwMNFNjIZ420RB5FHyTCzqYw06zcdc
sndi66uo+idcNfaN5ix3Xck9xezseTfhgwyV7DZSzNR3S1tdNDUNO7Vo5jNLN0q5i7J8mjoayNEy
edTN9PtmhtICq8YbkrBQDcysRlkrlyeClzii8GmFaR2lP3JlbIzJXciX8S6fCieYdboOnMmLnlyj
OBP5EtdKkELtm+oXw28b5Em7NbKlDhMNgNMkBqyObQJjuC+flMhoxiYkuiNp7G8FYHaGbs8OZi0r
LjDGVth8Xu583W6uHS/61FsFMp/Ky30y5tNdM2OF9FvHCMH7MvUYhCZ0mV1X09xfk5MJy7qhprJV
q2aiz9ekl640GqzIRNVW6A4D1hDfHc9sfX/U3DcKQ3szveUjlg7IvbY/c82deTFynDXLMfLyYYsr
bV9AdfQARhpOq5+NNpOHJle3dGqeqinheEwaL8Q7oO+k5HqLmc7aW92wN2vbQK3KThRA8wDNdOKm
3pPtJnB+0+VjcvuvqI8/6zrn/VNbd313cevoqYY1BhKvit81zaRQTRTHLl2WEC7NGYDjKwScjfL9
ep/zcAzM2JPXUWSSOap04yyEvMtGpjOtzfSw65c2DXIv1snZ1SPjmXbbO80ARaycFh4JWcSPy5Og
wRQDQWz2KCVSvIPfZ5X8tHICE1Y0zlCzzFYFoyB2GyR2+VbUGW0TaWqUNCoB8Qqm2ioY8GoCmmai
qrsRW+Vh0KZmzcPm+yzVYhiCptKTsCaM+Ua4Apse4ieXHNk8jb1XIHQmw5GpOidjnlR74VdiJ+cl
PhFNdnaq6h9nteCorv0b3+uz2yrVjF922vanJUmdK2l56mBCI7rq62je2aNQj6IifAVR8IM7fHbJ
K8EFP9ZvSOEM4dDW8dlCsQt7HOwXJGOxbRYqUayaxHk2cFsaXKHtOrYaG5XGDAAVnq/KEpsY3yBp
ZPZ1sCPX+vVZY71FTbKgDc+RmbU1QfLcONiEIQzPn16JDF+aLqbdgleMofZS9QDNVDYfqRjBtjgO
19jvGCvaBCNq7r+T20k3jefi+ywTTLnSrhiD1AJrlT++9Uk78tmJnYlxj1v/DqIx3RATtfH4K3dJ
rRdH5sajW1Y4tYty2K2E4i2n+cyv3q62BfnyjNgLlynvvs80secqjOJiTdnbkPs+k7TQ8wuPap5C
I7eF67n1TwDUvUBS77IxI9cOaPQMNSRvcFZmQ8S41cmWFOmhzYURKiUzWi1a/dTlTXfV1tavZukv
lPQp+HLJq7mk1wan+xa+a3mbKX6Nde6wes7NrVEUY6jhKgucOu02OX7u0yiy29TE3JjX5SV23Ofa
89s983VD5QBv/3aadpWh7+n2HciH29xlKC/Z9TkbBQ3jJsbH7udSS5yE3WVGv4cfG6FwW3iCG+5Z
plWFpVZWwdgl/HgFco3VhniLOZVtPToADccPnkuboWW+Gvmkhv1KTNf7jjPSNhSVgsPn4GafqWsf
PdHcTjivjymYqw1XyBNH9DP072on+mnLVYt3Mip/2A0tOTwj1a+hYpl7bxqRURYeumi+uLaNe5K6
Ry/rt8vg5GHTEG3morNUL43QkE3GcfR2JhozZ+e9OcczP9HQbXNn5ObljdAluA52mg4FWgY9isDG
iNLxKoGMG9ii+qy62r/LYo1fpGfvm7FJNjgOlyccFbfu4sMUk4YJpEvfdS2VTkIpIKEMytrGKdw5
4IKTPZZR8tMzmut2MU+553xYhokq/tEZ5b7vvF9qmCXX3JTMrbFkYVv6myarQiOT2YZU1S/ZUfpT
aPl70mjJtlml/zXunJt1jajioZUsmQ+JtkILSIyFsYXYdFZntyrhgA7bXjkTNl/h3oCdNK80ZnqJ
rZYuyHHgUj40s+J/4kmO4b3E/ymbbdVOldokncte3znJ0jgR9A/hebK7meD77lBxcOAUvQ0yzXBB
pxpz00MQWNReEMoFmukIdUyLhgUIpxrg0dZQNtCspCGEOjGRd48aact2V3q4PXdKy0cVWqzY6pPD
HWHm+DB7wvzCNxozqHiN7EiiOfTarJ97IjCfbT65eUf23m9RLH5fN/936/X7n/XKq27/x/oHfzFc
cM4l3f/887+Suvnj713V7z/9C+iEtJvv+p9qvv/Z9gVf+jtbav0//3f/4x+Y7P9SiWd5/q+VeIKx
LGX/LMR/f9HfhHhymT6hCtJKJg6KP4iCvv2bS3fB75GjvwaV9N8c7oLOqotjiUTT/qv+bjmgBfFz
0Dpj6PQNQiP6y8/9R7rnXwWV7H9symBtTpsbBiamcTyRpHX/bBRRNEE3fROTirB1pkzi2c7QBQLD
PR9ARwxvely6hBjs+j6lFvh6VcyDxiMMEFZ+n20NN9Ufsi5f5q0yp/wm8boMSJKGS9t31X7yU+sK
2ICBzJiCRbY9vDlBHfmChwDhE1AudnIairE+6zGrgqA2izOR4fx2JcfuS91P9hFw5r2AkdyFcalF
m7bPnf2SJurIasC59O161MKd0nCUs/umzt0zT+5Uj+8A6uZ8M2GZh6bak7LX1smhqqN7enuIKKdU
kRx7/TPPl/oDWYBq89yKrAB5tWOAZKs8sgrYgVB2bsZo8thHOz59QklU68c1o30AQat9jbVqfrky
9W+srPKOEHLUz3iChRompTRu00T2ADosdS9aMV5luauzgM6zuQytzPyZ6TU3VJsMA2qjxT2KaMh1
rFfxqZWL9lU5QHwCsvesUJemOs5p8zr4U3OfjWtcIvGGp0R23YPvdxNXDG1Rn2sO5ZVTIfdRgJk5
HSLlPVKWjwXKqzCpYTUITD1VtJn5ucvkbqiPhh17H5pifKFkgqdKXxWf8Fq7g7+k3c6gau1r0fvi
nOrqRlti+ypXnbxS0bKcZFRQfmG77c6dvNbcKO4dQC7m3lT8PuP8lVsvghqvUs+fRknKzmyt4jRD
3YYAVDr8oJPPQ9aI+rOR2tohs/VkT1C9eMRhmrzkXZpQ3VZJGubnqa63lH5mBkIA/iI0s7WhOuW9
h2Qt+ksvKI6nlVO3wBIZJMSSZbVrx4j0QISrZFMsFiQUUjnjrxSBkNFxWk1YVcEiW2ZJdZuSpwkE
14FzrOplYy8zbATllRcJFuhssoKaw7wc0aXQ1XhO2bWMn6EMmQ6UkVh8NtMoZMDDnLm/4CYEsqhc
K1jYeTP0MYd5lXFNmsC/i6M5CUdP28qk5GI/DxtH2ddp4Q9flWvlR10hH40Zov1maPuZu3oynZYF
tZddcVc9+XUWvWqlE2tXKPNNtvUr1/iBDtj2QaKPENHB60bbYc6Nt84vIoa6qunvjL5q3hX2iNCX
o/GRI/Ywss7dfN+STvAOguEcAr7nUy4Jdh7muzWJlQVMXLaPDAtWqA5BlIzaJwM/rWYGq+Q4dNVC
C3Fcee+Zq7uX3J5m/YjNwn8E2V6j3bFsYieGVllsZNzWOy+pyg/MAP4T0v+npo9y40hlgdtx5p+2
VKy4WsOoq23kRdVrFjNihIXKeLKiiam3zuWKF7C3kkcvqrsNwhY7t46O5zOkee6snbrD/OeLoEn5
PPMUprWSArath1MF+gQk/GVYq3+FTDcCBRw+TNdc5bXhXtl6Sw7Mgv/P6yCyfd33nGhIIW6o+VLf
D4VI781Bs/d1qufTRvO7SMACUPqbSVEU2zAO08HUoUP7VZlme2A5xRGycnONGIYjhsaO7l55qeCF
dcvsBToM6PjGQOnmMIv6YxRPyM6eNsr3wZ3x/QusZwcwGTEAFn1ub0SrtK/adhH7WyMbbudm1jhc
FogbtZb5IG+EGHaalzTvQDvGn02RjG+zqIyL1aawZrqx9YDV27OKQp+ugZtk9qN845myRKAYqTqE
qGSGhi4f4pwiBi/3R4ReOMUlEZSNA7pYrAzjYaUZ+yvXeFgJx9nKOq4N0ewnvXyMK7vftysROcWt
iHahVlCytjKT/Q56Mvbx5cdCyqjcDgZ05XrlLOvfyGW8tNnNpAPa6U900ztwmYUaZfqyfAObZ1dU
uf7qzTk6N0KNZXTda88mOLuJpkiDFpY5N0ZGymsxCnXvlIV+D2c3vuVYnPCP58txiMdn5tTqvsFx
eN8bbWRC7M+i55Gkx6uFWwahyK2YaHEhPXuwgDik6O6592BE3Orgmm7J0Ta7Ni7tsEtzgcGLZQp3
bCRQ9msc2zztwqmc0+ve9HvESLfJGHjLkhoInW/Xyan2awsuYS3eLT7qPqKToVrnTIjQuWE9Z15s
u4q4xS1d9CA85RwzaNKPzHIePh8qGn5aizbfgHzqy32nNTX2rDm69mspH9g4UTrBD/6FMA8IZVb2
nlxyDyq9Wd5zWq4AujTacoiNYmZcnJFU2Ntum47S4hz9Z9j0qbGA21/cY5LSGUzdwW1T9AS/GtO6
iWoWtxyyeXQ/LtG6tTBZqtRxHdJwusJg+vo2Jtu3X1/PR1VPxtnPFnXguHD3WaO0mzwfBi605shq
3V+SH5R7pBB1uZ0FqpmIQ9t6N1/NbKXuzFyNe3/2/eNg9O2ziurydjDs4cDnyZlZCtcKgcplj9CO
MTGwZZ71Dcv7hNus5Td3o6WXrFAzyw9JHRrbxE71Q9YU4oabZnRZXH86tjwYMfNQX1P53pdep/6X
0VpmHdit3bymSHrv+hjlx7bW5B7PqeaxyOCo4e2X8JAWhWWHlq67u3TI8ls2IeO7dN1xk9PL+GbW
qXdjzhWfvGQ9NMmCmHRjjCPELaVMs36oZv+V5CfpuyGheZOUVdMboV55ZsJiYfTfUi3KHzBgts2t
o9q0PVguudVgcZzcJmIKUP5sOug5iMdGpTfEc5NUrvt6XvnaXOYH1cQbSu29eWcljruTvuOGCVHB
KMzi8W4xTHagnSra8tB3WvJqS8tOP0yHj3hIyFO3t2pks40sT7fC4lwMY5oG9pwxhLX+iresqdgK
DRVR6I8mWt4Ye6cX1rbVVzZM5rOPJ+DRaGJ5RYz2sanceVtaTXmECE9LdQ8Rx62ne6dY6D7pf4k0
+cg6583tx/6TtBMThFD4NFq7f3Mpgj04rlfcNkaxHUWpnfnlYEcDpnqsMAX+shZ7qIJONjn3WNR4
0nF9Coqknrs7yx7zOUTKR5qSiqXEo+f0altSkHuXLMw77J9Gu9T+z9yLLumXqtv6V/fnm9D3lP+3
a9L/Vbcn1wPC8C94D3VFkeE/uJi+v+aPyxMF4r9hsHXQkdbwFi7mv96fuCX9RsGHDmNhZbEApPwb
7sHnqqTzn7DAs1agoeivtygh6C0SoCO4XZH3IeH279yixIo//nsTsg5pgnZI/rHIyxEJ+YfMg0Rd
MiOGuRsXlZYhRSsR8bB926HdOPl8cAmnV8hFcQIDLrXkJTaBvxRciH+0EfvzAISSKUPS5s10TJYG
pahuXedrUSbukSr1BKsUOZ9rtOHiJV1Ec67bRf+R0c7jB0afT32gE8ad1yFosPap5tRPOCxcnECN
PwxXrHLUeFHSqbYJHlPGJtRM3DNOflm9qKHRR12AXnfW+1mmAYn+GBGlWswNCsf7wCTPKZ2gWw2T
PjPJwVojCICE8V0053tAvrfRWCGMCSdJLzQ9jse+6N2Dpnp1HOoyQ4BIq+luaLQ99Snmpjb9l7Ga
rH2iFR1rj7hevyt2my+TzXHAioq9K1HvxDfwVq4LRsNAoATGsunrImNJgtfe5hFbwS830c/acOF4
XFDFHTYBgb70XL3M1L4C89betnLMnNMIxPqLV2Q+5eDIIvVILdByJJjdauLkqnjKt5QGBgTgHSDy
ypNJsTUnc7zUmShSUayKK/fyasd6vByAf4kk6ehgSacEvz8mBCiM7mlBYGdXFRpMryZ1FEneZzzi
qd0jCXs0SqwCw4n8IehLnJNcKb1vK7Lryo2EmvY2AKW+b1soDyx3tOkHU73Mfvns+H5RjGeO1rVZ
0aNLtpqN2Y4Df/WM41Z2X+VIfjdoSn840yqUX+FExgTuqjyi8K/os2OK8m1tVZHfMVirrZ4yPUZJ
Pt60M8vuFVPF2xLpfzPLnJZMTP5XXpbX2zjWQeunab7P6+TGSOV039GMlLLPKsxN6qukop6pi688
j7E8FBavdmhmHq0jZGY7yvlm+0jfptpxvrYftSmLL7NrDGvn562DUt+gvXUelUdBTDkgDpvWN65a
iwWxsOLiKmOGNg6i6t+TTAxduNTCvqUshp1YLWRMe7PQT8Aoyx02PW0/0JOzcfnrLoVjyb1BJcld
VXfGuulhqhRG5CKSeSNAM1PPT6vDAqHUbNmVUE1zHEadaxjAPwairhBnbPHLFVMYSmemz5ucniy+
R9xjOpaBvoivnQRRYtML50xQEi7FlEfvzAQ+deDLwK3SEtu8yaur3nDlE3b9a4o/7Lv1nQ2Nv9U3
KAJYwhrjsmRcKHlod6HHtm3HoMkdWlhS/1Ubs35T23n8GsuUoHMjyMYPsKfaAklyTp14n2VDvico
SRN6swI7wU7upaP8h1hoNJRCZjl7ufu8mPpNZWUY7liln/NlsM/Mh9y6s3Z8sZuadpcsn+iZSS3z
rbTXyqseikYcjIVu3Tum6LcGCflfGgBcys94NXb5knVHMKJfhJF8HIkR/EitnxufRhlHPEiLNix2
9kP9Jbw5fmQ1G+sBAEn7k11juq8w0vFnSO0IS4EoPzyYoOmHAnYfFoQcvG/oQb7bQmeYdlYVe4fJ
pu99lBXbph7g8q6zY4M3et+lJ8NP+scOCSkseH0e26m5423Net6cz/6ISmTnkX/Q3ERC9LMa98pT
Grl42mi9HxOdQbd+4aVQxevqB9qWvyl0Rp9AYnR2tnMtdLaUxjFysvuuVB49HBgzct7dD4YGFDkw
xtnE02FF4dihdOvoFPNk431z3QYWJUG1oO51670uYqCzSY/VdTTowiAobL+BCfMx/svlvkY4C7lO
ji+sPCuIm1l9MQuJ0jG405c2VThwTKv7RXMWarbdLNu6SFpiG6b1amI1u1kM5Khh8pbbubLrnVHg
djVZm5yAdeoPrgH5NYQkmze7mjaNbVs3+gdmfrURU1/fA5kGLTyPCeZUMgaBMLr4F7sU/VDRz/dm
cSPQNgtvre3CkRMmALUc6tOSkUI8Tn5vRPZwvcG5mM0Sh3wirZ2IDerCGl+evNFOrmpfSYY31ikd
eUleWT+Zf6Yzhh0b/1EWNmaUbFp9LrjlGGyXowm4CKVi5nFR89yHxBx+liX+MGOqfW6xZn3BsJWF
mtWoM7SU8a5wtS3tnv6lweSXBhjbkuhIsVp+SXSj2bBVyt6LdjAfM7qWL670MD6ORovNwUn8e+FP
SIVeNx3rKUoFkqUYwyFJ9Rs1yPylhEX9EnuVumXZFj3LPEpP/QS8IRm95clQYt4mep3tZ8T3bTR3
7EBpCAZ3w09b09Zk6t2xKpYBV5vbPwFIomkuFS0dIinLOMemBg19Rb9tWpclkou+cVWNGgpomY/z
yUY7zIEXGibYG2HxOnbjq5jYmtkDlj4sbPhbcaUtV0ZqOF8mfz6dd1GV3pKgHtlF6P7LvNj4yMTC
g96rEPaCNm7TnZPmztlNpXyM3AEjqkbGLseJiFCx8cbp3De12rWUVlX/3+T/83tB8V+tFogZ/svh
+Prnp/po8z9Px79/0R/TMSsEaI9C/D3x7C99RevgbDMzOx6W/dWs/9cVg8VwTIDSc1g/ECj+exaa
/u8Mw9hH/2EY9gTQeENYaB8W71TxD8NwYfUaEkQynC3qkYcETZ3bLe8iSzTZXJ3hEolZlpifES84
ANEx8lXSsFdxo11ljqL0UDwqvv2LWmUQcxVEpm9tpFtlEvNbMTEthYdwSftXsQoq6ltbGVaZxe+8
9NpcpZf8W4UhFGduJbnnEAOldd2tcg1Zo2anD16JHqRXt90q6/jfCg8krvwZw/h4teI1+mBaxSC9
GWFT6YlGpMyr/fsi8cp7ZXbPziok0aeJpLSKS05jL/doVup+hc3srFWEWqJu2mqj1V3lkqkQAFBO
woCeMvFdWUanXfHYrz1mrkujWfpdbibWnrOGp/gtqffkhRLCfg45UOTGiulG8xOX6e+7L21ysu2g
C2qaNL2aziqmWc2jYo0SIAI9DKC4PAUTZQj1d3ms1l42nYK2fJpw71hraxutP+m5SSv2NpWk1Q0m
GiNAw+/wqVhb37xxSHba2gSnSrInQbL2wxVrUxxZJ0xeGV0it+baJKdRKYeHINsRmMjJBdA310Il
OOhjzTiRVP25Wnvpku+Kum5tq+Nk7Hc5InHYIePdeJifDrNJv53b6OOZA3E+eADCP7K1Bw8bX/cA
8JJyPGLA+bYyJV5RlZAmKNcePXJS+q4xXG0DIqW6A+9tPXRr8x4Zl+LXbLa08a29fM7a0Fe2tnZt
pS7YGpQ4XiukWrr5fI5c2v0sRaOgsTb+VZzVlFrSAshQqBFNUBMKe9veGJ0kqzjRG+h/VwhmvHGA
lq3Ngtja2Ss0ykCz0L7LB6e1h1CsjYRVu5YTOmtP4bw2FpZ6jYGCfDimL/ExmIN3+maFEM+R10IZ
cdiv/Yfa2oSYrJ2I03c94rA2JcqFBF0R057II7T4ma2NirokaJmuLYu5nUkJa5nuRRxA1DBG8VrJ
2HzXMwIs6U9V6ricX7Q3ptwrA6hZ2WaNe71ivtFf1Nr36KzNj4mgAzJ1JXuRWjbDndLi5a0puKwE
WiGnk7TT+NEXuX3jNQLBXMb7YXDZpMBDQiXnbpjbVgeFeFjYkhtG5bI0adYeWJBkG6ft3BzVrtLY
yHkOD+ksi44mns2jPfNwDvC4YwNiAuCW66iofOYYkcw1xXKo4kbfIvvb21ST+sVNjGrcQ+tHT0L0
3ypiMjdlXMY3KhHmxmkc671gv0KgFR/bSxsl8Jknr58fkNCsOIR0rIG/N5ID82V51S8oX3Qpgo4O
B62xh10lmcKpqsB0r1HjVV5rGKCeXaNqqFBw6kiGomkiTpJULlTg1j8KQ9fXGbWcLtbiljzlczvN
Aa4N2nM8tGCFM8P2IySDeAJIYGRIshkM+h29gZRoUd813ZmFbryolsriECeGks2ucGrWtReDrS7F
WhCyyx4AE5NJXPphPM4Oq8pJBwb8EGERmZ2n2C1ld9+tW1ByCzBIqqtFmoRdws4jKiA3YjDz8UFl
U+x9iZj7YkUsqdBH+6kk0Uefuifx8u00ilCzHzMyh5HvSRcoxYML5ee/2zzw/55IxmQOpOF/LZLd
JGn9J3vB71/wF3uB/huP3FXrIt+/CmQoVH/MAJ74jeYsg9Jv7y8tXH8dAozffNeG0kHih63ut672
R87P8n5bH+AkW6F48OWIZ/+Gz+CfSMngmI0VKOoaFu6ffxLIopFKiqSy7SP6kYw2Zrbk98mKtGJ+
GEKuT+2LT3JvJwm+7wyC8wCasPJRETA92ZUn34STtS/cktuXeKIy4O9eyf8EevpPDAH6NHR+fL5B
VEbnm6z9dxlEv/cU8WZfHLNB1B92Inj26km1pobYHTdpMe9Z+mEHknUufleFf7ei/Cd/NzPXn+el
NZ9pY3nCF0JRmiOsf7BgIJ3hJ+7ThpVf9Fo2EabBsU/9y0rodtiI2u7Z1Nk+8TI57mkSPvG/TKXv
01ItP9weO/BGLrN1FRe463NQmeQsqMXYqqZ27tzE48FGlsc+RmPZnQ1pgTjWJTZ2LNigLUv0SjG0
5U1izsD0KYdm5eA1LCMRy9xN3y8cWl6faE1gQSYF4uKYb9x8CDi0GX6p1qtPbkuZsKqhesNkq3Y1
W0ZshZ3lQVJt8PuxX6R8xQKx+KIppRGVcB/7aaHGWCwNeWrXkRVOX9qjNVIQVKjW1nCYtTIKcx6f
Ad3M/UwIZBzIPEYkp2RS4RY3p/m1ytbUsYZYdAZTG7E/n7sXD08hlgCdUuhAB386cD/0nINn/Qd7
Z9LcuLFt679y483hQKLH4E3Yk5KoplhSqSYIlWUj0QOZ6H/9+8Cy45blG67reNMzKR/7lEQSTCR2
7r3Wt7Jph+TdQ5ViJWsQ+Uy5Tc9qnsLOSB9NjeZ0k/JAQYJqekAMfFNh/hrD7dBRD+x6e2RgmnAr
PQF2iMm9aBovX5Ep015EV0k0Sf7QHeHQ5SjKLCKhST0L5FrYAy2ZxBPmrmBWFqzKqM1sJNpeLQzw
IfMi9VUmCto4sQhSYBK9StWM8LtGO3lwcWzC3Ed3vhpc94ufTgHDK698yEo1Mnts6BB14F2ZjjDu
WsUm0UBgVhXIwMF9IHDH2M9WEL830up32NApj/t+w50aIqb3i6fZmnqbiUeXngh+STeB2/pvknn1
ARfevA3zuoW5hRJih+42RjGX8kBZN70zEj4EVGGP4kfQVgjGUxiI6BlNC16yQeLYwqwuf3MGs78X
GBJcIp/94jdYc4u0eIbC0LgJpsmQ7huuln52wYf7WIk23HufZEw++BmFZedSxERETX7CoZOM9arx
yc9ZR3bUxOt0JGN8FVAHvpepjJJg1ap0j1p7eGe2WCz+KKQVcgXboDfv6Pyq5K1PcrK6MH84FuHJ
KjrN3bygm+y0/+KNSQzsmHbCG5bLlky+sBsVdwVhMb9ClE/zjQrbBvNQWznJtkUoa2yrKJjuevLA
J0y2fiu2XW/MyafJrqbpQJLFgo2JSrAbVamKGIyEjOvFh0XJxWzMLRdSb6l4bmfmYUaLxaOgLW+V
BDS6aUy7etMVbAuhppylPprVcYKU90Qre9kMJZ8/wwV9n86dfyZ1pUHDaYW8mlo+G1FZ7idUOmLY
Nq6ONDNjR7+0iZdSqIGZNrZjTKxnU+FwBntQv8JlrV4HzlHoPtwew6McuJG3mnG3sYLt0H0z0dOa
GFKUa57DaAAtUlt19aZ0HpL3YOTz7rqVh3xyxgH0+rdtujCTM6Ptz2Nizc+5htJbrbPBxgS9HyMU
sehswPpPb27XKbM+BSje+UcWwzRjHU1EZ4P9FPPQfylj7CyaGBe3fEPvxVAX6bYmymD2zo0WvOMe
1JixG2gGpkudh+eTM8P9VEpg2mh+8REgmBgfuyS27h1wpoo8mSC/V25Oo7GMqa0IWel7GD5+iyKg
x+NxCxLWZ6TDO2Dtcto4lkIEPTZbquTVbLtRt4HG7X81+nLAbJcoxFd5jKMDuY83mSvihAK1ko0/
vFZ0CgG7TmGxCby0WkUwxI8xY4ZtNujqmxbtZ3scvGMfhqlL9lg4PHbEVuQbg1E32RJyKbJFkBQ9
cw9KR8dNo53oUFRLu4+WgBtO2RJ3xsXK8HCtfNm5vzIN9bCXoRLdVQNTDqui9suFO946eQo/UvYS
aShwsVXboJcfG+o9MtqUuCFNpz2GZLhStOvIuGQ8Z4DT2CFpHyFGkpVoCt+iZ6UxKneVhUhiav1y
2peDjbxJ9F6qNuzjxM/GroP2gA1fF7Z++U/h+L9qIC3oox/KnUX9+oeqdZHX/t//c/5t+K/DW1Fr
majf/lJBfv/JPypI/6o55TDt8Mj7b32qb/1C1UZ2hBksuELQkv/dQqLvxNjTJQhw6T9da84/qkfH
WnD6/HXQExxCkLD+m+rxA/KLiE88Z0x/nYCzUkAviwLqh/IMLfoYI52ZQZ8yYLRnWv+WFz//cFH+
hzqMj/jjCPf7i4CuAv3I5/wbQpDIL6MGLjcfugyCzujrGQpx76/rzGl/Um7S3/vbSzlcFt91TN90
P4IDK/IBmzS258PYJ1CK84QJlIXTgdhPFJwQzQ4FDqr9OLvOCsdq9ZOX/9vlpAKHAonIhUOBDTP0
r5cTR3DgDpQ9h7QcLlbhvwSJ3vzzxfyAAVsiU6mlmdYDLaQh433Az1HjTZ0ZiebgiuECdfyZAq1a
d8BLmcs2v/3zi9kB6/2vF5TymRKYGb+Dej00l/H8DwuEgCgHYofWB2ewm1OcFYJUqNAoTpnLKT7H
Z+9c06OIE2hJkrJxGK0aBEdoha9pU7TcGBBYMd0RFH/ZEQMiyVQ8RkL8H9fEKg7q1FZWI+plahOS
6RTi3k4L+5uVDnsO8u3vpbM85FRrWs/YWQAsTWFXsPGV9lk2HXMdmdmbzpzG54nJ8y0DuyFe2bTn
mAo0YXHx3Dx+SSa/Qm+p7Mcortx7ty2zJ89FTNA7GAihfcfnrueJzzk/4snSNSik3GbXd/N8pBNx
h9um39lF8bvj509V4vzKoPqxRWTLqDooTrU5fo17lM9hkXpbmvsgKzh2bbJ6bvYZ5dha8cRydTr8
xvSyOfqpvK/JXWbCy7TYsYpuSyvPO49Ya9eh4UUnK7affUNEp5SiZc24YvF29zCwjJAoRJ1sJpGm
5zls4kvrAbnoAvqPYR+DAEfIOA5Rf5iTPNqmQKPvmGqvO4nthYJquHFj08u2jJLaaelpxOGRXgWE
hATU/aXxIYlK+tprK4BPVVPxgpCpBQNximnlfXZK33iRWa/uywoGCM+y0bpUImPyrpLuYNouRwSl
wJGBfZU3UdGouypH4mSVTbZDbcUSKRrkblU1rdOhFMhoO2tH8Wg+O1VGWlTPxN+QidW9dokJ32Jt
TuIWln18SSQDuTIhSivyCvDZjYcffEgWjjVBbbdRJNVjPTM8KpS+jaCvvDZz0F4czLMHfCriToy2
dyhK1gIyq2TXteW4Lwv7VTIyRbaRYHJMfXsk9iYJH03k3XuCX9XdHBvVwxIhaKEWvotHmnVIfHNz
pwZyIyrPpUGZeDVt4dFN9ip0upskIlUR1LP3kKDfjiIb+mDU+mKpyr+mXSaR9bkvYx+fnCJqcOwM
j/WUfUaLQMO5T4lRw5l702r6+4nsGU92CMkIARB7y0Zgh3o0P0w4H49urZubqTIXSFfsVvfFxHOD
FY14h9CA2Hyknp/etIEYniQBxgRxaty0sWeRsxViHMqp9/CrgczKosanLm54tTizMfKEhmFjgwZ1
GtUSCqURRK9B1pZrTmnhPo6i4WZkfIy6rGP4FRpyTw824t5H4kVkNriVqKOl7GYMEr18OM2WFLeL
TG4XpaRRVNiHaTgn5cbz5Rv+gJdQYHeI29Z8StA4H6ze/gq85tYI8vhTVplUZz5XGh/mqXWqbt1H
meKYCGkiGvps0wRw+r05vTN0Uz8ypss3MOHeQedTQAFs5rgdxf0xQtK5FYb5iP901yKrPKRGRxGM
Zns/kx645ijcfAY/5iN51IOxqQkG3XVWZb/pHgR+JWtvq8cdaaf2xXXrcF2KTJXH0u/1Q2fUNsI+
MzgmxWDjV5b5elwatVJiPMO9Vc/nKM8of+2onj5XIshv2ZDmoyA4YUXj91VVnJ6tMDBWA9PJNb0c
TAOmvKU1sJc8ADB8UDlzpuUkkheiPOsiOOa99TkrJO7iSCBGD9SJSEsmySh3NlFmBHdxlP0WYQZA
l6q3fmc5b53p1N/Szu7va+Y84crNuffYErz7ZKI/DX83PxJjqw5o/LJNNczDl4oRCyIKxSubYTpN
69zjBsLDOi4qGiN/EUNjMuCcnUcghN6GDAKxFnmR6lXl5jaqfdluPeh33Cfe+F4UE0rVpmREqst1
xjng2SXF8jCFCR7nRuULs2p01tBt3W0eQJPtZt+5ze1koGdSzz2zhsA4YBXm2Nz4v9IjQxrck825
aSI3xYAX+Jdcj2IPsq7YKsuZsBNPMCIzB7uiF8pDl1SEtY2de3DRt997iSDxzojjr4G7Jbxt2ueT
5PL3cvxMHwt2oRMGjGym/GITJrF2TVHDIW0z65PTeFsPBuRLO2XO17EnZ9VT3vyiS3tDEg1gpbRW
6tyJusWDn7LyENgfcN+QxkjkzIaH5+9lpi2aHyrbeXGkjyQ6Dsc+tdkzvgcvYs5DXraxlkjG66P+
P93hn02JbexeP1RFfy/yK9XK/1q/0WRLPigpv//on1W++4tDw9fHZr1U9fQcf+wToyuj/DfpRdKh
XfqQf/DgMJ0xSaB16wYMXfkxfurPPrH9C3+VWC1AcSyjpYX8L/rEVL8fSrmQSs6m8+x6VgDi11+a
pT+Ucv4i9kGAnB7gCcJwFmEmQUXS5Ro2Vq9I3m372qzAkfkS6AOmVE7iFmptNlQsS2trwGi5s+ex
yLaVW8UNM8lKAEGpCSGiGyht/V4kbnDLgNo51kjCztzy5H87HZPNyeIxSTPWPvaJYBscCLmkR5OT
zMcoO7gl9al6LTXt6NqcIS1CQCKXhdoguBWSvQqrpTgX5G6X64o+grcch4N6b+W+VFudGcuPXCGe
GcPCB6tpw+eOURJm0nrJlID0NT7FMCyei0SMTwrb8DHKFl6rXY8+aE2rzKpTRa5NcPJCX7/rwCTU
qiw4URPNQdpyeU2lcVAOksFKYyZbEoBXNTQsQJ5WDHtY2OJicjh58xfQZ1UZ3cHupf15HoLxobTh
02rbRE6IvVScY2sJG6t9cpm+J/+g2170hGEK+IxZtn6nD80V+J5mg4zmlYe42a9GW/HXnBEMe1G5
7ttEgw+HcMwb4EDAux3AiTyYdoz4JpIUp53t0cD0wpFP7SzM5IAG6Wuemnx2UkSJ4OkG0z57DlSL
kliKs51hxQqAkq7UkEBHiZL+aFch4m9QP9EfGR0Y2AmQKMYCECbrmiv8/QvNzRjiLWaV8Nnqlm+Y
ym584CvV+guJqohOh3qJuR4BtBYbU+NnfzQKi49QYZjGINBL/gx0DncVLimIazxavMfveNRhQm2H
to5Mr33TFjgU6uWR96I8DeMzL2YDjMMw/y6jJcPI7MvwecqHp3bW7o4eFVQjAH/w8iydPvq9g30J
/IexrkVhXUqHBQgWYlm1BQs9g2oS7aY65jfNkcWfvmQazzthETH+JveMTZuzTduzGiyl+WZDuyUU
7RoOBmW7c+7IjoGiiyOLxWdYkEGj3uLWAxLbvvu0KeOtuSSVyaHhJsQmwRdc1TAdGVjHMFmztC6n
U4m3PllnITyAbc8SRazFbXlbYTFwDqAF7aORolhDU2bzvpO5A3BcYKwEoQQKCX4TDYxVJDpQuuNi
vCxng++uX9bJFI71a7d8RYGNb71wu/o1EJpfhpgq2TPWIePIAe9Pzy7c1o6oX8EDRM/XJZwY5GLR
L+Xxudzsi9brNfLIdaNvySUZyCh9uGLLUf8DqJZIGnZLVsmzbYVcuAWHaq/rPGDBdD7RVDnmBlbA
ckt0eZ3ssTpy8SbSqfeNycZB3GbzCq9KHRq3hpjqdZ64OLjwno3U7IHWMTQhALmJyZglPg7cWQWE
mwZ9AgnEZfZBVhcfxwTO+z1ibdFhcD+YJgvMIOAXkTGMKIA0jrj0VsunBk1srTgf28TwkH85VHl4
OzcwZlbtNfKjgrsGHMgIFCQRX0v7Ib3inw2FxHhLSz/cmJDLDyBxTYjkaXjrNqOxsdFKKuAbGZ/X
HtGV7GY9dXIbclPQgFEoW+kCsmMVFpLRp0mPyNpTkh6SqSEcF9noU7aESTMqIpmrIO00AZdZOEca
8zAwWgKwTHoEl5YAeq4gHMGnmoWOM1VmzWtmRs0h5JSxx3dIXBvc2TNJq9i5Aslw5JOGde4cxo4t
0p75wGOWsaKMEJvQhpGHuEQmVIJTXPnAKO2yIPcNdQNcCpOo786xIPX2A99Snix8/IQ0jq0gPsHm
zOCwwCF487XS0nbfTIw68ETo916aDpgwjMABDbCC9LWIN1gvQrdkySyRNQM0K29VoOQ9J0syWsHA
R3FqISx824fLygFsU01I0hW/3qJ6eo8zBLCJdFndZJxeEK+Hz6B+RHrjIMc8oBhGqHRd846FenBt
tnxmwDbL+u9wiZ+7pId27goiRPAe8RL9IJoWob0LS9okKj5nEtAGm1zay3oMJzDGdROEz4a9ZH58
39JSLZJiA+yepeRGgeqOaaCxFjHmGdSWOZV4cDzurjzPKM67gctrk3p2veOKPnCeh7IdxXpsXCV3
152VbB3h7Qea1c8igW7yPMTkZr2417y/3Fl2KdETt8D0zH0LlzSetGuKRyE7iwC08h2ra3hUNfME
9B/m8nCOYnbgMCfXfZhdNjKkFdzBQRXURFZL5iASe5WcDmw/djFsRAwgQq5ikEiCXMQ5vClK3ZJ+
7EcjsX2cnPPHOUU1Yya5H6yhI8XPPEoBtLduwVdUmtw1NNDZa7knITqwxVTA/C1UTYhMvfeqLJ6r
WKhTGI0d47sJgSR1iE3f3QmOVbg8iGAH5heEQTWIuS54QPliRty7vb1TDUTPRpBJ7TLiuQFwEINT
jeXnBJpqvoIO/7Vpra1hVc2tBi2wVq2/Nv2Ue2DVFaIwhkPbTkctuxoCYchhZwmNrNb4wF8w+e5q
zts7w/PDh9rpV2nhP0UWwr2Xyctrg+cEvuvoiAmgYFfFLmE7nreZbRNnRm3iALU8awYWqRFWQ9R0
0jUG9OIgcG9JhKo1QEQns3dZafUhvNF5x3hoALklM4ho/jAxmig5i+8mD5jSIWRZMt8ClEHSui9D
Iqed+T4YW/+k05DHXDIifBuNGhrpID5jFK3uDASz98mcBSffili9gvxETwZYEYK0xl1ej0SJZH53
A48K4Q9xpWR3G+74Rghw+nnyi8/At5v8Nm+089hk4C+NVg8BE2cV7oLe7gl1V+E3GbSc64YQeBiL
jBmZn2wCNSlIfynCtZ7h+jS2gOOCGgm74yCS68DD3wVKptMd18t7T9ug3M0dAsEpT0wyRYfPTG4g
9yYAEPxo+NpHI8GUqf8tbsbpSbpTuRGwwHZ2xkjJal31qE0uK0hYb+uOxfgrM7OLgVsaNbnWd0Ei
58dintx15XcF03WAOlHY0/QKE2cbN/rSLAPslfKojLa6aKo74OlsUTC3CG+V9Tambjh1hRInC9Pw
wQ0rfczCzrmtbGDFXLRy29P9+wTwrwIw0gRbA0bdKmXHoildZA8oN2nYBSdjzsQ9DwH8lg60mTgw
vGOOK/oxBoFll3Z5sAyt9kiKqFknRnFjDFjUzfjCgK8aDBdHeCd47jA6uAzgQKKSa2c+ZSoNbqsp
bz8zBjNup6JG920EPj83ULt+a/ucHlDEEOrUjmUD86mtvqSU75R3HWQJ1reVXSwVBQfAh8bZxJYO
KV/4myxwdogfsLdWWYGfwPffjKz4MhpNltOmyZfcUqV3BsRfINM+ioEJtcHejDK5doOM/hkurc1M
bxaesGyPfem+11Dgt1YriDWszXzZrcRxwhDyFjG6bDZRpccv5DsSL2YoKsHELDdTZmbbljb1JWrY
Udj5VbGlQZisjMTyD6bGCAXFc9poi36FOwBuvEUbSx+utjuwpGwkaCObTeuaT6ATc7GN3VzhzffB
SqVPSSTQxom0WCxKs+7jdzb/eCdTq9nMgaix6fTA5GIZ0fOuUKbuW08abEwqQReRdcOzwZk+4LFH
ig5OSSE3IIU4gchm63uquks090WCHecZ9F1+nD0ADwAKsx00gnnbSZN/TX3042jVPg/xGLDE7aJy
jBM8Bwo/NlLCB3+FLB7fxk1xln2rXxbq7A0mijsvK2GSUg18KjrL/BIOmpksTMUIySxKFHiUXt2Z
xyKDiHwyGjEvCgM7DdHX2l0zIKFbVCOA1uzoPmJeSjVL835Fk7MKXqMmZ1OP0nSoJ7bvyQwx0ON/
oM+TptXsrq0cyPMq1gAIYtCfZme/YmzhqbugnT1AkIEd75AAugXMA8V/p8U3i43pFvD/exx6aut2
1KDyGuZVDppCxOsdnk1JU+fTyRTz+DRZg7hQi5K82gyU5XQh658piT4KiULBeR5Xo+cFsGOuku6/
nJ17s1aFauSh9jBb8OSjFOyI0R2UP7JJ27r8hKEtcI5TxVN0M9qVzk6oIPqnzumZ98t+CJ9xIlC8
M0ihnBctVfU1Gi92ZqqJJEavmEdk1CLy5OhZhiYRC+h0OLxlvhohcNGneP9eI9NYHJ+6eTmUlBN+
MdQZQM36dB4flsfKW7IEJZToh3DowtCkIPuhAfI/DPSsj1MhLoePmMRDw0ZH429Zf1IYTUJstbG3
pctXYlUzSRNBt1Re5ci7Zx0i9bCC3vhUWjNnubGQvK0p6eZPY+hxtWIbfsTanY0l5tLhf3Kx+HPE
BRhD8KbCtS18cqsB2BreiKEj2KWKOZCvEcuSDx0DhDx8D48lCIOzJF5QuooB9cn7P3/Yq0Ttxxic
ULg+o1YfKbNpIjVfRPk/9E36ME4MmwY0BNweT184jZ2GIJ7R7FduCPmirAssZqNu3mB9Tk9NS4fh
mi+dVKN6KsrmJ5d/YRT9ZSi3rEbTdohQcnxb8PD86zsyXMgCHU97SHRkjYAEIjalpZH0rGnMcBFI
sOHKWSSSOQJ5S91zKihB6eR7gdIFXr2ul5MTx5F/vlQfxX50mFz6XxZ9Jsun2/Rhmsx8Kcdfl6SH
qAIXtymqigTc2Zk7/cWZZlLAnCKkaK9KOs3eCojzz3Lj/ofvCs0fak3BtBI5oLUMaH/4rgbpiWpG
S3VwxzCA/VfqONl0oYisszC0jDmTRfU+sRMZQ7yP5nJbA7s/x2UrLoHZiTPzJw5f//qyMNGwXZPT
LWPUjwuotLuowlsZH0q0S/tmpEjejgkAdg4uBI62WGmLTVfMnCGMPq5f//nVP+bbLReDl0eJShaM
ycX5MDEuJz/ryn7mmkw5HYNUNBMta90ERcoXIicXzIE9BPYl8yPjKJZTaunkhLT3TlMj4/GmPiOg
iBATeWiXRlPdxGX6+zVleiiXPOjrG/5PJ/qnnWghfio3Of2m9G/TX7Um1x/7swtt/xKyznwINGhf
v/uS/lAr+y56E1aBj5CZdWDRH/4zlETg2UdyiowYYYFvL76iP5vQwS8hv840+X9Mh73G+zdNaDQq
H7cu00VGHZBkFvAAYTDz1xvUahTDVqh+h7A3EpscZxuzRlyp7EZGvXuDr7jpP8WooU6VmciObnHZ
Psra6It9lgrSoZXqAVITbZKsSf+xIccrKv16pL6A6p880iYwwUuWxC+HmB1niCfnOBPS3kAViy6j
VbpfGEC95aCmYn7VpWdS9KnNqvlRq/ACcAryZok0ZVV5eaSpZ3yATUzy77rBQVDISEk8aa9C11m3
FFRkfxPNTqn5VJZDdtIKS3ZVBAlAUX5w8LBKsmmO52KsgDgaQjxFs2WQW2GEv2tLgQOu2SWHVV/M
6kgkO08YZ8zqN7sHCD4POlzPjk5BDXKhrnGbypff+P5R2Rqanx5Ej5kjU3OwRzkSVuu06I4zrM+1
b3f8oHYHuGEcGSFnejTQwxfqBOSdZR6YX/yine+8ug/XdPrIYQEZdABeBFbA6Hh1EQzDChz6tNNJ
G5J1D0MIY0mowCUnCdbdQSO14YCBGsOqY+O162z3E6LVAtYw7fdbFejQ3A+uyGkU0gqAY9SJL6q4
ahZHegzML+V4H9S58fssh3A92k10yuQo3w3Gduea2cn++v708q5Y2QoFIH8eLVCh5aqkU7b2PUBC
O1N15b7rph6idj2jZOAiQ2FqaXf2naRNm1gMUOFfyVXXZtlwS6iVlETMi2w+4JNR9k66PnhVe14G
32kE97k0quw0O9WxVw7zWtI1GNohbfxSE13i7UQ9BQCxMwdlU1uwFoI6O6Wd1hteHRa51m4CuIqQ
Gbzq+bMy7PyTrNX0pamlvg1AkV/SuQ92YHqVt0ESYZ9gOsU3UQOZLZ1q0qLoJd8gnkrWyBl5ZEIO
ShDP8CHTGceUSye73LsmjWyMyhj6KeK9JV0BzAtayX3g6HCf55b9++AR87DmZFQgKmSGIzexBe1o
F6ZmK89ZXvG7QrquO6/yLNBUjt3zDa96Vfkpz8xMP0VFON0l85CtbYaZm7k1o7vCQzW8hvUULFpK
sVM0wp5zdCj7IiCObJVh9803Y5sUwT4Tpv6EsveL2+YAm2mXlME4pWu0HosrvpsNAt2z/K6Io7ld
a+F5uySYkWD60DtQYJYnrLIOOFgcBZCA8+pBe3PxqA3b2w3TVDy4iSNOXVwC7QAWvy1AfS6c+HZr
hc58ks5yKs0gPKyH3LU/j5T5K5pRsNcjxgerAUTfyiEle83MK2FRASPalW0/bq2qhe1tRilReoM2
oKPb+q7DfniPDTK7wVrlPtDKIQGAk9cSk4aeFxFRHqUUYiHDasLRus0wmv6XfjaSu0iI+NdJpSkm
1+pIP4TmUB1mm5I4xAHAN6XCakpJulub/Mzb3IRk7BqpImMhrormUxOCzoaeKCSHw55Ol5GV8+fR
nUzsVY0898hVTrNZV8+G5057q/ExddgTrnM4pQzDtuU0i5r+fwsOGFMByPoS4PXARiFWHcL+Te95
080Q1dWjHGfcI3x+mxw1TsPHuqh8vfHmWJ26iIwYY/KWBLYBTciqWGLhVmbTdWtyi+gM+mWt1iq3
5MXzgVyg94IcQHebygKS5cQBL6HblFqEGdherdcq7Me9ZGixHqbijWDAZquSyYL62PjnauoQyGYM
QVadJRFCD2MKG7zEy7KGNqseCDiEkAS2AKUCmzloJXYl7XXR63VnabI2+j1keHnKK+5QC3AFbMjl
LuJsS38GlNmzGopg4xlQIwHMgdfG2c4TBqtIuR9jtmc8bJbD7TBYT+CxeCFYCCN+BNBX65wi6W4w
B3zncjDC8sz0cTqDNK+mTVXN7ZYZ6nynAuHe/Kdc+t+pc4X3z4N71LmvVA4fiqXlh/4slsQvyNis
AGWj8P/gxP5ZLIW/+EBiCRnzvyOOUJr+WS25v5hITAkb9tCT4PLm+PWnONf8/4lw+ziwDwiO4/FA
HUf1FXgfpZ7Iu5veNGMeP6QPMgEsY/feVkN9nvPhX4anO8trMQUxuRahg77+w9GNogkEaiDK43Uc
NGO5OKMMYr7HFbhtmvlnabYfj4q8nmOClPIXsBRF6Yc6kGeh5TPp5PWY43BYpTG+WKaYQLSjYx/L
NiKW0x4DcSFqwbr885HoYxHKi1OFMu4J+PYQuH74sI1BU7DSCLZmRVRIkRdMlnLRI11Y+kljNIfP
kWX+7CP/TbnLq3K1aPcTII3w+sOpvdXQd4bAL46qEONDhhLqHeUE7ZMwIb/z3ycGI0QRLFJejhYN
osuPauTUNMaarnSIninCSRbUKCup3mi428ZXO+q9n500/3ZdfdoSiJLRrXNxoXX9tbiftDDnOBr7
Q1eNDd18LyIrlXM/U79gcOjdTEAPz0FeOkcfcOpT07vlc1kzG1v6KTMOK1/7T2TYWd1K9W5H1tRS
KYkxHL/QTfrJKqCL8+EwgkwcCQj3PiNcTk0fcQplQY8gLVra6Aw5nAtCBDe60XFOIzKueOqSFSCG
E0/kKcdY0briwj04PRk0Nw6WKT3vlOiAsflUu2+xrWnuSS9nLUG7RJ5BdxhPjizkqTctZvffJSwk
zBQkAi0h6Z2ladsZKkGlMllzsKtdGti4YchZv07Ea2ManwTWwIcoWdQms2IA940JC9FpnprHHrtf
Y6U3ymbG6bFLeJskIAbgsMzDXwgyC6OnRvHEJRIwbRiq+noy4sUhJoX4jVWKJWslQPiMd60T9s7j
WE7DbWlKekRwgDmUcMxkFrRsBAouCobuntBjY2jHhzBrGHqDu0RAkFrkbyum5EvUKbruvkdGUNj9
gwnbu1iHDak869FMF0e2ct8CZY5PdKNopBZ9hLIFr/qT0TBZdtsu2CRzQpgv2gMElQgUXr2qxeYF
aI7W1rXp0DmKT0rdjXYo17wgnvDomfiPRUkAAuct77iO14Tb6yy/C/nS5qAJn4dmdt+u7bJrv7Wx
B6KBJ7IKAkKRl7axZqD09H2tSnwEcAGQGnZ3STbqd8w8NNvQgJGDMfW13uuhp7Vp0KuXp9CPkuKY
NUZTtCsP8Wa3bR1Lvlwbv0HNfroB58QguZgWxRCWIeetWuROGNa4+Zd+acjQ7LlGK4lqtlwauhwD
yfRDa3yjrkoFu67GB444ZAn3nsUl5e6uX8eR49Y6pm+1iNUVX1IohX3s4OEhoCLg6CkZnJBRL6ds
mj9cf+yFwDS7wNnKDB8qQlP4HQ0d5/P177QRNOOCKGr2jVkeDD7rI6bFfjNgGdt1jWYBw2SjUmqz
oT5onUbRjUD3WxPOMXTEPoxBiPgEEhKH5IBBHlE24JrOLWJtchiCIrPGT7VXmlBwIhhA/Q450rQk
dfEDJYFK5nEQrY+lDCg5jWWtSRVEjNGlw6aJidZ9qmtaiCuJAAqFlOza6Naaw+kV68nw3k9G0yMb
0nPyMEyGNbxoLr/ca0KX95qKd2AeiU3SoDu9rsyMAtrtXa6zvtR2JOnMMYCJynDCa4cGVYINxPpA
pkmAadINFtFxPxyQlo9oqKvx4hUdoTk1NgfPMqaz42YeCd5SfNEmIyImtd6qnUZB/I9snwbZoO5u
aXV8bZ0MOqC0NUcSwuvGG/rp/cEJqpgK1wS7tzKr+YxeAH+pZtvkrOWfykR659osGbR0szPdwmQo
+MJHWgEA1JBFlfXcvoeo5IeNNmiab1jc4cmBk1ISS9xrTke+j5OUeT1zJMP5TKKFAe+oeSuFT6wf
Mn3n0EB07fmLNnuOMnuW1JSRgSoF/7JiX6Y5j6OJo1FUEv7sGUhNhlmhl9EYy12Ogs9L3FkKenGx
ELs9miCOnNHzVV5VLyqiiZgExGHZ8DZWUB5S11v0bAwaU8NMX1ChcGNddVQR3uF94tsk3tfhMgoL
o3LDY7TC1FFs54T4FM3HiHfMxAL35OazGb7M9Le/Fsow5uMsnS442gVDqWWmiGjbVgKUqodU8huZ
G663VSVngrCObgejjh8UKqJjHIQXX8rmOW/V21QgamAJimdE0t0m7bhO6KjZ591aJCd4wNbXzogQ
wIOBNu/qcPA/Ib3P/E3SD0cXZk+/sYeGLEkp/BtkZirYhZwy75HYjN1udqznAiv5phrxetMHAvUF
L7iB5Zw7bo+LJCrPOC6cb7mw+fs1Tyz12ZWhFX0LgyFRq6apo2o3kxGakyuUdc4aE6txC6am49IV
BFTMHFC/TH4Addwpg3uijEzyYVE4+YLMNgC0kX6txoBapG5RcNoDeYCZ6Pla8ZirbQKMmM3CyWMF
DEhPoNnS4GyME4+FAsfPxsg9/f5d3xQtArXMm1k0nATHJx2bwZK8sywlTuc0HmQlzt8lYI1nsaen
oIefr3orr5XhrR74agi/CReBYZfynnwsK6ukdvgP/4+981h23Niy6BdBgQQSbkqC5pLXm3ITxC0H
723i63slq/RaVVKXnnqs0Yt4oVsgCSDz5Dl7r53kMA8RQeIkRmxB2zy2ctb7buqOKplYBycnRkAZ
OC6SUrpK28yvuXLGZkIkgIfkrbG5vOvMaMk9xT7OVI2eT7TK15VTN6IXvUzi60S15F3mKGo2i+R+
mCu/2ozNLK/ncaTDeJFOdoPRf67snJ1D2B1PBN5r9J8F+2OfOqzT5SUpXbUg5HS4jUfFoGzEO98+
lrhEubdJRiURGQbbF5O++twWqKcuwslhovYtQdftxFogBaQ1A+sMZiCSrhtBzKW9NbsAUzERuEh0
nIlPnZYN33WedGh9xfnZe6SNX/TsFi6WCVxwSaxbIbNvTp63jRfpnsa8h1mYto56iozaee8mgoVV
dQhB56Zb8BcDuGSMPIr4efZWXDsEFbnXEo1az7roiaeiNsxTA8rg69C1wSEZ52DZ8Jmpci4yQWuZ
eSz8omMnbwOGLXandasxXY1832FbJydrSZm8QFbgjheOlv6NjY/CDCPPUD1F+o5m0B5f17HkiSt6
bqOBPzbaDNbK7BhrVUPWWeE7kflGGAqmF78TpeWTa6fG+DS5CzTHbTonceI/4nQIXLYqlLbgAvyY
Sfhe5cRdiRcM1VEdH5Z5cJCUOctjYdYwcExJIiFZ0Wk4zMQHza6yDiX9nRl3W2KectkhnS2HaZsa
iQK2oHD0MFA+Fdna4H5K2sfaZ2XJEbgikQjSk8EoajP1CVuP8ssjbh1BBANBacU4X8wObliZEQ0S
LzhL1UfbtrQfYp8l3SZvZi/MWITdKspNtyztVT0h2IiHQjxWkiUGgxVxHRkdlo3IqUgGt8y/GqmE
eznVEVERdYkCs53qkDdwJgqv+lqRtEHE8F2ASPSK55rCYGzNu2BozDsaZXi/YSW5vSqRBjrtjto4
QtUyavmHCXWnTYhflvJOmoO8WayxeuBusy9XS3Fi5ytxM+WQC3H+b/3S3cVBcTPmCI9sfqo7E53t
S2O4I94Xy76tpxJYD7ojCsilPRRBgUFourdL8UjlV+2g55tfwQg5J/tbn7IESQ/3u/LID/ePRrZ+
AQ7MDZEjr/AeW+qchOVo4qimIpgwELID9xtF+BsrSKKNUxeZqTfg1x5by7hybdU2N33OPBNTIqtN
6urh9jrp6KgI5FR/r/I5oxlL2R3++nSqT0l/nDf7PucSAmNoLNCE/JPDc52sLGDHa44N9CKKfrgu
FlmKPIm/vs6fTj9cSAhyVB2O/ZKD24+nNcAhw5jVwCi+iQpGhuDPLSKm4pu83JX66HJZDn993T8d
/fUXZKDkupxMJSfFH6/LkbyAubk0xyUr3NfBIEq87BckjzMK647hSaUeXTdhLQYvSZX766vTt/n5
18VRwamYF5wPcZmW/mFCTIgB3RPh1kcyVTmArH5nPaP/IW/So/tLNLlWHaD24FiiK2/0hr+rSf4d
cP7tgNPVA/n/G8R0e7HahK95Pbz+2LW7/OH3rl2AZQY1jr53NnIDS3CLv3ftLjRzfWtNCw/4j5b6
C7KcRojkndJDSB7L37t2zm9gmnDE8GeoBpiN/pMZp/R+fMS0/VvanksDy6JNKMXPJnTaTk3vLp51
vVJMx+sh7WM14Cm2zE2p+huDs/auKakSNpPvZO0GF9D6HnuAi+M2Fcd+aozriM++U61R7mOqB/yV
a39Tx9WRNI7x5LezF8oicM/1WBlPkGIwZVcxps7U14jt0n2aEFWylRFlg1MGL6lo2npT6m3eBX+N
RnUVewvPCYSUKbKJjIB2weeGsurExzxNblxq5hOjE9rZbfQwr+3d0tehlqNs4KWLY9szn/Ipc7de
4Z6ExGU45kFIcfF5xIkSjhkd/XLqsm1nV+om6mIinwYzRFL6KTFo+bdFb+zQjok9Mvv14NQk/Fax
ddDYlrcQTrJd3+hBUyF3xdLddbmSO1bz4bWzBsweXonW2iG8xS6pnkQJo5hfSiJ69IOj6sf0kVz5
OiyFWHGJWEwva6W5xs10BIN916nAxFOdr2xkBNQhMkOZZTY2bFnHxsAC1XmG/LaZCOI4ITe9SQRn
Lg4Zj4FZzruB3KygHI+N1B7fwoKvjo2bsVlsEkJoouzK8AYm6o0zTAw6IF3vQAwP4QC+OCzUGG87
x3CpVsaPZY+BfVlwkFciPUPpUlsbtHm9ensjZSLnEE0Vjjl60ZQO16Z13GNAgvuA4Xfr5xam8DUy
3igbBTVHbQfeMPRleyRW0ZLkBzM5V1cWQ6Vn0nzgaQp/CgnOIFplEQ5pUQbCyMWUYUXNvHF8Cp/R
hXOOWH4XiOxDszTy3BJJiWqaIFrHbsOx72byr+MDS7SHMRFdZgHbL8/a57p33/jLep1Zs7eJ4VPv
jQrdLm3B5OA15evqZB+ydpCHrI46zuhztcNGapxaK/gisaWEwwTohmdCmzY37swj4XfxA2FM2G9j
RkaoO4ttHoNH8sW6lX1hbsTgXNEEEx+UXAUe0v68GPnHVcllt3Cs2mVppo5OhStkXYnBBKpOSG6V
taEXN/KYrDC3ZaKWLceXNsxF987oB+AC3gLyCqIk6aiqPWDSlbvaDuTeZUK/j+zspQOUcUOvrNzb
/scYnNoJ3E+7dRrXeC6kIK2GWbMMvSJNH8sp97dVz8gxyxN1IM+sewYp6oeMJfLHlflE2PfrDVPo
Yg8UfuZknbj7FWVn6KDm2FULuVqDZZgkaHWkzsN63KGfS7ajk1sEItqYl73MvRLodLdp7E9HLGlX
A3yrM9rLMTRwHb2MGEz3o086s4V+e+vGwUwKdtluTKdGE+Zk5gu5a+ZmMITLm9tCpUoabxuMgP9h
WldPOQnt9xFy0ZNA7+1sUEsmGLSMPNm5jT8z6C3dLQGpOePGPt/zUcdrD0gD/6FxXXE6PZAUeou6
/WOKORbEKXLXqQUTOdKKCb2V37PBqsXpqyCi1Ta/LlHiA/GunZPmzG4yd3gikPIKNZN78leS1mTn
PLq0NndY2OpdQnbbZp0LN5S0uIAPBJ8Apz+mePawP90XYzUwbkzFQaXGl1Kual904N4H7zqd+e97
rzpQ1msBdlXtvdjotpw9mlDpWjHxbH8jZPra1tDFYx+bDLb4o6ebI0Xuaav2OGwptNTOYvofdlXL
IxW73Y2yvP1YWq9Bq08aKaPCCUDqU2Ql8bb0gt1ICq3JqwZhvP0y9XgQvJWYIafLMI8XpAQAUMr3
WWFNu1zh5FJD3oQ4kf0jp/i7urA+uG5/nUFxuuqd5Y0/9x6KVHfYFsp2ieBLq+cgmN4WUTeHtNq/
EEAFbjsCKTHHxbMlxrMnh+628a1TWkOtcOq6wLjmQgnu7ouEdktkJ/4WItvXriNrPA0kKt91rA9S
QnyNAInu2nkorrHaEbO5dD4YEDDwBVSP3k4+BIpmipLqWBeVOK8uxufJUu1+8AtE7D5XrNb1GTdM
et9DyM4EmxDtgoWpMt7xXMTFvhsdZ2OWzpO2+9F2bNOzavuruAMNOk22wcGHoFgGKmaYlK37vsiX
d3M0jkdPERg9WvgH4yLZj9YwH5ZqMfb44lCPl1NwNxR0qWMPKK+U+oPPN03LWWugy0to+mNNIvaO
CdR+aVPa4WA2rkRivB0DQnJb8iNsUgRYC8fxyp/WjrUm7WDPRu6R9Tc9AQSDYGKwys0+xsWRpDvO
wBYhImCt9jF6ejJgG2KsZCMOsZe9nafUAWThP6uhP/d02DcYSr7aRuOdiqqItJYeGF3jir1Te/5O
yNI8+Q3HA4hpFQ3AOtoTI1aHs69g436kK1MNL5K4BSAZOAraoDoumBZlAycd2PL8hnNQ6Wmgudtn
xabl6St9kuS7AMScl2Dl4iWjweP09rG16nRiqN8gnHmxR5R/gCmU6nqAqE5fs3rnIDWaOYV1bEXO
oy2RYHTv62mp1urU2VPvBdus1ocfNEUFx+Rig0Bg7bqbS834b3n9d+W1dH49EL8jG7Oufiisv/3J
98JaB/4wKgyQOMOdooClRP69sLYkRbfNyQ0Uuk8NTc37+zjc/c1ioMHfMcv9riv8vbAGggpFDkUh
8E3k4mbwTwpr2/ppgkq1rE/FsERNC6wkZfyPJ8e8H9d8HoP0Psvh4AUE85qs+F2cu3dB1Ej5IN22
6w+wZir26CjAU7/hlXK3eTTV83JLVYPyxSMvRPdz88F+THxMystbhw0oN7cu1sMNdvb8CF7OnO+H
ojU/l2aDrIPRGVlB204kPoiNUdS4impeEH861IFEbpS02anMKvHVpskJOAV97UdDH18XiMEnL5ft
pq5jRDAD+CDSKKJDvBKBaQeFSVZbCnaRF2ocNy3junyzFg0iu9WWxotnGh/9xaWBoWFFiMY8MlGm
9Ips+QxvpkyvPFryH2ZNA6SCpY7tKjd57MjhI+ahXtQ9CKMoCBtrLrud3fCNgY6uA+BBONMhTfXk
3CJ2Itkt3qJtcT+m8zS89GzR2a1jYVfFie/dpZ1Jr0sRx5MC/cAxNdAgZ1ASLAEReyZ+2CfPGRgq
cCfUu0jVFdT0YBrpaUXxEyemKNhQStFEU3z8q9SNkvM6L9h50lQ4B1cu5lVc2dMucHNYICaOG7H3
8NLE2l/RvFUdsMiY/Ip+63tTeTL6CliB4ZCswUK9+nc+mbcja7GOh8zWFFaetySgxjKn77tL7PX7
gdwUaDwdT9bWgmG5hEGRLCEJa2SzmzQoyZZKvnodtV4Sp/mxT+W4n2PbDR2t4QJE6j20KzBVhk55
HFpqqB9yl3OSqtkTzbIVD4YTzLtqKmnoSo+dvesc9/NMclXI8Wm85chIoHei6jJhRVaBL/ZtZTTX
hLbgeTOr0fSaE3CS2W+2gQMPgUUe6xF7EYzf5l7mbVJfrURqy41pY36sNolPnYVtsacxHeUcITbY
NX2fWBUhybwvWcHth7GPuVermLwnusMpXnNjCZo39M09MFc1MTkqCWC/daZGBnAa0SIvK+4Bw1Oo
02tv4uRz2RKWiVvDy71N4SuC4Sbg5D223qW+7Q0/vZ6qITm7UTW/WmXiEtTKOHCnaEerqyVWdDqp
maqOEtw1k6OipKnxL8pCbAahBiKfgCwNR7MrvX0Vp+k9BCCK/KSdUMTVwMl5syMf6x7jb9Llu0wz
h5oId8P1SlZBG1qGBFaUcDfDZtIZUmZldOsmM6ogvmfcmCIxw9Pm3SxrOd8WvWMeOmyOnFntmAgA
IQ10lR4qicLw0luDOmjaT1FUJIiATRc/Q+HP7yxSBA4DlSbYJrNnrjVk6wMmwU/GGlS8U8SDLVuO
9cq5HWq7p4huk3LYx6Oq3y2EG8uNj8vveV19iwoqarrqwP/JaCMwqmE4shKpJ6BlS31lOVQ6W4iq
lnsozMSaYYZh9rfrpvtKYMmLM9ISt1OnX5+m3Jqa45wnAkVhpJbQbwzwkn1v3qxELT1I3B/VJpJB
Vu6ymNXMGWmX5qrNDuti+6fMIOyTFBJjWa4XMSMWwdG0hlwJFLkf9btCxBFjQu5VvY+bNQutVdoP
Bsh2mGhjUoRukFlnhHLBzvYznA1Gqi36MlnEMyj9FEhEYXGfcxlnH7vWy14RnhovdldM73tzmToY
x1LyrsllQuy42rjaXWO4omsAtAGfXr8jCCruzvwHEjueoc3L0FgahYfWxzlxkjhULRQmCKoajlmq
APLLUZZsJI5dhBK7XcxweeL4b7Qdh4WIkARYQbVTwmmoq2Yksohsg2ehYvsNEIm3WCPIEPtGCggq
0zq6/uw9uA4k43jAAzpYCRS3ANsxEmPsxFC0CMMGkLQ8VlEvb4vSQsBSdgicbuaurm+w87nZwW9r
+107LO/iZcHgO7gpMxKRRgUWqMkcGO6QxDTelKTb365K9I+0wrNuS/bPEj+IhQkPByFZqFUdS9sb
PCzTEshXdMKMO/u30s/F/t966r8SGALKwXn1f7cr779UlQ5ve63SH9uV3/7wd5GhBNgJcQcdoadd
Dz76w+9Vla/R8qAHcFhY0DEvYfS/V1UWVRUyMbDztgDR6VBwfa+qbKSJgmfbE75Ao6OJ7/+AC/Rt
nvDDvMHTXhFPIIDyKAF/Vm0VAGPXsjFpknhVrkJqGx5xp5jJwouWOtBUCmFvyzLtyv08uG2wQVTW
XaFUALu9tgDwtklhGgHttKFwwoRGkrGhlz7Cc/7UTEN0N7sIikslzFCmSHM2K6N6YuuNvkcQpGS4
ugV9LMNmkr/j8ItX3Upozu8wya4Hg+jUN/A02GW1vBlLoslkdl1fIstA/SwhAO26iyaavaslUFkr
pc2LalpcBNQXLXV+0VXXF401RVLOOIgGz5hUx9Rb0y/4MuJPs5ZnL/zNO0fV2RgSOCKvk4uSGxMI
MhYsgmRmjFrsXWvZN/Kx4jxpKXhaJ8PNpOXhQgvFIzNCM15r+TiVHqd3L86mrcOPsl200NzQkvOi
LBmSIjxAbawl6X7HzwxzjuEsCmfzRDz9uKuQMdLMQdBuBfzyUovc5zUo7wctfB+0BN7UYvhMy+KT
i0KeEJTqBKKKvVoL6PM58fYWI5Fhq5PWiTGPzZ3yXFT3HXDKjHh58y2ikOF6rOW73omHJwGNzT9A
7ke9bwGLYQamRf1VN9pvliK39ijC/APojQz1/xpFN7jmwFHaZr4ta1TOjjP1j2R2+NnOvUzp9LyO
nbHayVI8etN9qSd6/UySNYXPvRyBsOnawNYmvfG90NNAICDL3dRnzjZgXGj0/rB1LhPEhFmiraeK
qPAihvxZ9eDomSNEt7condwQD3EeoktX+0rPKJWeVrqGUx5nBphmLYZtTpDOY6Snm6Oec0Z64gmb
GocROO5S0h9JRrMOo8uUNNAD0yyInD1RI/lXPL+fRBQYe/Yr5qyJHrnykKMQ0WPYXg9kgaYQngYJ
lvQ6S9JFdB5qnrYtzb4zlMZkU/qtGyK6ercCzNqseuib6PGvowfBsx4JxyPDYTEiLyn0wJgjVnzV
6CGyUzTNDcPt4ORBEQkzPWzu2Ba2xWUAPbU8N5ep9KIH1A2M8s2ISCfMLvNrwhBAT+uhttLjbVLF
JaNuV5aKwbcfFUu6Byc706hyxCoZkGffxuXzt+G5MtC1PVlILuYnh22VEbsD/0G8EQRFZjvTydKz
25neA3SQKHm7yJXR8yiywt5XgRbPFTB9uP6U3gLftcilaJDaF4jSpm1HlwkOqqgN5x2AyCq7mmvN
SirqFSHiAlxGVocO2//0NKWpnLFspSMqhfgCs88RLGXv83zo1ipcp7zySMBxemurGjdYw6kn0SDk
MYvj96VIY0zHiaAMzo26ZIjMaMDcLdgiONSJdNF9ull5JDHRovR3zN2HPD6qwZfvx7qah09eHojc
RemEZ2baFONQn8DKI8Ikf4BTJf/jEmWdoRswKNBN9GnPVT661Jgth96tNXQWQR0GOVX/7tT/zU5t
28z7frVTP7NTf+n7L1/+2Pz4/lfft2lf/Aa3D9cy0zaPf+z7Fh2YJMA5jPP0Dk6Mp969v2/RoPug
AcDMRj2snZFaX/37Fi1/C3wiYQJ2fMe3g3+2RWPq/nlobaGoJiwYhhxNFKqIHxsfnuqQScxOdWWQ
Kiaaw+RFbCg7AidnbGmlydRPO/bn60EzLsq+VaHQ3AtYWt6xLWW6iZyoL3eW44nbvoWVsWhqhqv5
GXHswgaeO0ru2F3elSxjLWu5Y78Gmr5haQ7HGDgzUkjYHEThfh6rBlqHDUCKkIk4ZAbYboWmekCs
GEGFmSYcOxvoxxos/d5JQP8Xlc+2lnEGkk3rQ/Pry6sRTw0UJXc/9qhQzWEyt1OWxndCs0YqldKc
Toj/QiMjWV55cep3iRjbg0UExAkOK9gSRDPuR86EwEyWC9ik5MBwU5NU8pLDjiHZbjUfx7mzwqrw
HqZRBDdmxgjLLwF8IuJAT2jnYJK9cQrztEXakZndAXhYdZxTZHSav1I3tXfVodfbE3BJVso4ibvK
C05xlYdOveT3MHERtoCI2wg1+zuiYurNmMN86XT07NxKc8viJa8DkpWvxn41jpGxipPME+NU9FWz
g4rOMZdTT9izZtzAF6OkaX2Ddg/Zec9EAsNEAVBwHUelc6BXXDK6tR3+1X59aCarv/GIr4cDYj27
mnGjWGt2/UyETOTl/cOaY0UjuKrYu+jyQ6OBlCM1M2cEngNg7oNZpj0DYjs7jhMDWLR50ZvJT+s9
YWHuZ/oLuboZlZXdxOzAHP01rmdZIPf4JS38NPH9I1SRbo+cjyoAXMGO0HAgGZr/g78t+Oh31fw1
nlWwX/XUa9tGABN4b2jYqblncpA1Lwn7xAudBPVquMzqGQo45g3+y+nsG7rBTRsOPFIAcqeB5ruh
CQ2kWjOMIk0zsjXXCF3HS3JBHRm2bI/+WOcPS90aJ6yW051Vdgip2pSgnQZ3e7dNhVF6x9EYU7Xv
mAQTIz1KIEur5i1xLNtnFwTTumhrqOYyWRdEU6tpTWr0KZzWAIQTob0mCc0Wszp7RryDFCr2EKUi
sFqstbwnTeMIJSLfJGPV3nSu9VoXrRddt1C+knMjirdu2nmP0BwPJL0I46pPRxlZh4KpHp2WKZir
4BNa3zbdxZFa79AD9ff9aPnlJwKno/Wa6OZN5Q/ji9MsNja4MenGHTOpZxn12S7oRog2RRWc5tqz
iISJelg4De0ZmHBGmSH+UlPMINvLuxermGW+hA4V5IB60PVqJMe94/cG3Ud8t3cslPzu5YTDlpze
ykWuE0cmDjsmQFuTYcVtqzy49yYE6hYwp6PEQ7UEY/Q5i1pCItM12LDCETwrDbkzx/qJJ9fJ4R2W
47wJIO/l2Ae06socguwjMcrKOPrVRDKLUxezsQHMThz0N517tCSc3WeA7eiNsWDkhG3xpMAKj5nS
DAhFKw2EITtIflaSTfzAgYY+iafIuQknoolzOk/0iXeVk3PJFX0rPUANMLFpzpbIaAtk+OYMjJC1
T6uDctpBGwJc6G0AB87szZQGVX2HQtWqXewtbWIP57yYHRPTH0zC2Fs8II9J5d4BBF72jgYwmmYx
wZRy+I23Lmi8Z+xc1rlz4Ttt8rqDr7SWwXzIAIDcVIFsr/I04L1fnCh08oKkWmu0vcMorOQAcdo/
1CQy31dWcb3G9PY3nXBqIiE1eZ15H5kkg0wIOfI93f9ImdaP1UgrhrCpkw9Gixol0+8q4xsRu+mu
Azhl7E3YSk9egdPUtShqtzglDEAjVXWLNpbE58lzbzkLTu9JSLHUBoTtWSEK3xRtJ0LYmfFh6OBu
btZ1ZEZf9qv61Kr2I3tUd6sNS/sZ2MQ2JYvG31hmaz7Fq4j2eET8FzQz/YOkqcHmUBUwkL3+rh58
hJGGMk8ToshPK/jdexWJsPfc+IqlMzqCqjLf5Z5IQ1Ta/vtJAExGaG81x8xpl7O3euuNdCx/Ayks
D5tZZR8Sjt4nUrmnW0wW+8Go5GYZTE5EhPkxJ8gmssUzFa33NLcyvBLBoYcM8LJ69XClsJdCU6kQ
rkylQ8dZcGpYezqIc0GMO3BPJwu7xfLPEPoaztA2AT4oYTYz14eBI52NJbC/xkz67+liMZJddY5l
FlCP8wX2DTBKMFqzTFgaV/nOBozHXugEzevkW8ON8FbxZRqteu8MtMty8PzY2Fv7LQnWDYfFOg4b
GI97XCANEvehuM3NuX0z8h7eAOrp7h1aE9dodyvculV2jek+PbR2Mt3mwMjhARTukRTlD60v02sl
k+RtRLr2bRQJyLqI36kEMLUzukeGUpe2edsv9Dm3KW/+vZN5y4GmR/fqexVtATdH4bIODx0D6hL5
kO9elUEf0DtP1rPI8vrjDIZ40yylyYy7Nq8wAb+NGGOA3S2B1lfoXojesXcwBxgvmwIJbRWZO4mh
+cZJU5MknR7xO7s/qlt4/aEUCalGixheDAtWIZoVZOEbiWchMIgZ6qfFpV+BSmwLfFilWnhExEIJ
s8KFdOKKWDuZyZu2fV5qkA4hMRbOq7X41BSQTNGkmxkrQdflhBkgR1CJ92QDQkCBi2kljZPn3lVN
+vBvff9f1fdgt34pHHyb9p9qIi9+GG4SN6j/6vf63v0NCrzl0Dn7jzTw9xrf+g0lLDPMADK39NAW
/qfGl95vJpJASaeNMl+jUf5T4xPEA1fHgw/pcgDw/2GN/+NoE81g4OD0pQWHsArZ789iXEuYSU7U
nHsOtP/g4hB1RKURVwpt/MCbQwvyP63Kv2B4/dUFPZqBuH0dYBWCL/ZHUlLOtyZbrHTONotiKDQv
lNMsNkIw+8cYK+ftr6/HEeoPuttvX5ARML8XJDraoD/NbklrXnvgM/Ls1Yn7mgVcgDBa8dw7099R
oH4UGF8uxa3mXmN5ZST9s62TdLckHnMhz3mJGTD1sg62/8oGz0gLf/GKvdcDJnP7X2iq/+Jb8iQ5
PA1A2ogB0r/6H9TFc5tPyjQ6ee6tDHy631CQkK6hS6YYV8avf1LB2fPn35QnkPYxg3+klvpp/+PV
FrSJpbek8jzXLhfyGu3PmjMT++Y0eMyUKhug54kjHWg11SUTHC6hrSjEvBlbU1Okf/2J/vz10VRr
p7pudyPN/emcSrpvBGw1kudvFsoAbeXBxLt++H9eC/IRXXMeYR6cnx6oOLPx5SglGXMBMB4lThxv
KJfHixv1119L/47/2yHXD5TL9M+XxHWxfZnOT87tdGiwHdSjPJOr/rW3IPWNVmn8zd38q9+ORUhc
LsYq9dPNpH8lycQr5JngPtTo/kTzy3dxgIpVc6J//Y2E/nV+/koa0mZRbPET/txRQAUooJEI+5xZ
ac7JZeKaIjK0ER7N23sfh/Ir5C9e0jSgW4jEEDgR08e/+Rh/foJdU7LsmfpVBQfw0wMTWcJCLZXL
8+IP1slmfg0YOSIPoDF6nlDCm8pdnoPHgR0KITq8vLzk3UCbDvru+OtP81d3gFFIAPidO41F4cfX
KUdQDR8EvevFBWyazEnnagRd3nR/xwL4q0thf2DM4bG1WD8/UUvjd3XntfY5dfh5g0CHCyBEYan3
Xe7Er7/Xj0s9y7eU2Ns1Eszicn96fJtk4MTZNsYpwtQLyZvcxveVDa191ckEU6Wx1b++ovhxCdaX
hL+HGshlhsUN1jvqH1cmkJOShjZdEjPCFyr9inFt3/XLo8uM+THtI+6r7cCrTPzMer6YsctlYO5s
VLjmaDm0R2TPUML0CoJTVuseVwtnWIQnGU+ZILTl1x/ZuWyx//tKOGz8dKWgMWlYgs1A7qfbD44o
k0tpyxOq4nKPZHnd16mLWFD0+cixslRAxooi6+poW2eNcneCf+yBQB7M/agZ+IxRCQFxGzFD+bxi
Bvu8UK+6+LFXbQ0k8CEJzS4TE911HdUgYmLp2wTOe4Fu6Whm/FmnSfee4u9oBkFgn3VuxjB59dmP
pX3qMn5A3LiZuqdEhROAiit4M6wcgba4/VtxFL3DP40BGblnGYBVAIafRtDQxtRGR1C1XMPnl3b7
RN23LQPIjZxwqm/GlCSCPkHxiINAW3SJ6GT6BgzDPc24Js/9EMPqVp3Akn2hV+RZ0b73mspqTjTV
1SPzSuAA1mBAr8dFk34Q5PhQKq8oBWGFMQl7Q6glz96Qu685tTwK7swiw0IEBG6IRu/Q0+S8liq3
PjWELhxRB7ePncvEx5nRVntpDHCb9XdC14U8ptwKBdjdsFteUl2b49EzkK/Au78EPShppYfIJpik
6zkEGLUFE/+CTQ3IMX7s+3h9Y004m7/FeJQukFaxdP3nvIwta+PawDLWPmIs52tv/tgAayJRS9lX
uJD5lcsMaP068LvRA+oByOsdtWKn5vRGrOhGlUmXHZEscCpQnseTLQmhUJCS1OqdEl2YwKL+bv8H
hATWv1busmOaCuDAqQpx26YtTw3jDWylrubwqyxrkL/Xvqq2RG3hKG30emmg5IFIICd8rdZi8WHw
zqASvzhU3Trh/avNGLZqqbEUiVHC51QXzG5UYycJPY54pBpc+huisnmWSSAL3vRkBfQHmkvosA0y
Lxqh0W3DQJjMHokFRcdQObhQGxomNyvq1HgL7d55nWp8sG4yAv/uq44xIo2gDujrah3XdaY/ZsWu
/FBNU/Xsr6m6KdqJyCaoLAK5TiH8vUjN7pQW9XQVE1HLv1Isy3au1noMzT5ynwkIQZBLc560bDQQ
6paUTfNcyqRmWJkHSPzRrG4Xx5BbVa3qOQ9IkELA1ZB8a+oDH88kiiizrx6Gpsfam0Vj+aV2uuGr
L1e6TZY33gauQ/CNWjIapWPOyrRdGdoiNselgUxeNe9cAMj9njaX+2lZPfoRMLev0VN18d6ExEhL
a2zSUGR1dZjqsb4Nsgm2NWje5ENs4zGhlcA4z03cQ1spKArEu7YHv5/d95ibB0JLmvUDaYb1CTVt
rDbLLNcPVdHmOxqsK5S0idvoR87ESHOuPmRN5g1hNSV9mJudd9DFKBzrhUSDsOtKY9dSA5IjZ5V7
jrqDXpjIB2Ek+YgD2Liq8ra5yrqk3ytnVF+ISZx3xLEYD3hbyndpPiHFUWjoUZBBMAdKgJSye/UG
VFdYxw0g4iWOhKkT+7Kp+Yd841Yuicnyb0cg9eimJyLU7r+aEWyLBNXZdPB54lrf+Wa+ptL1j/Rk
lBOCYJvJjou4ED6nKJRjnFz5NZaiYuiTEAuysbPKenxpcreFO1H1e6wQalsl5qfC6+t3sMVhxQWC
GG8Dx8NY8DmAXpcP7Erw11eW92tXtgSuxSZ31AOHd034YXVPCERzD1WEh9pA1Dq8qohwE8PCzrTp
NX5kVzcDzJVvCTiWjZBa4x6Gz3FnsiDVK9kU33JDmGjgj/cYc+z8cXFobaTJUpF70lKllwSUrPhp
jPp9JORyfwmiuRjShz5gP/ZHB6IEuDHSVS6kFFMsTX/I04El6OJhv9BAjIVzFAQOSjh3WsXz1Ehe
/TFx2qNcZLYQCpQ37xuoInw0b8JtnyMkf0/yQUw9h00bS1OtWRMi6ZvyAykDfvNVNZOkReIN0a7w
hn5XZXL+ggsdaqSTG85blILkRyRBfyRwg5FptcQpJEeRJR/7aXjNGsfeOZJZ6zZSLB/vitUYjad0
BXR59K3Ev8UVBmCGcNYdXgTCUg133Stft9aCuMRS5Mn5ZXK68tGNm6+Eqr5bgPjc5YM1MGgovGJr
0dXeybGxPsdD8j/sncmS3Ma2ZX/lWc0hc/TAoCbRN9lFdmRyAqOYJPrO0ePrazlSuiJTKtL0xtdk
JlESkxGBANz9nLP32uHrHMfDQ9i5fHM88dgRcGWglUBgD08hipnaYDZzT2i3sLCNQ1bl6wZqxbRO
6QsNB9R8gslAOV2jYDHvnXmMEW7mKV1Sh28BgRVWw2etQMm+paWUXZOCad3O8Zzd1rrV3eexR6BJ
qTdfrF7LtiX9uN9L3yG70amwrdiBEcME8kwQXoDMV0M3D/4qrzOWC2QFZJh41mka+t+DShseBmiL
F73rxLWMQ/tTOjiIRgAr+uyVSt1ZT2Z441tTfC1H2zxp/oDiN+rD5rMRD9U5R6NCPqbdnfEWMxSy
2iaXe50lb4cPgTHXqBtGQM5E4I67KCvMR0DW1aEvzPmhiqPgSkzdfGkjtLVEiQ4vXdbW3VY0jRWf
xngcbVJBhIaVP4D5d+OMNMf3ftQ1B6pc7SoBDvAkYonFSsO8RKyr5or00HHz3Azs8N/0vm6uO0x4
+5GN8FwkTZ5tKsK/yAfUKS8iFrc9Wdw6uAJOFhqIVre/hEZP7GCRBMz7GfzJl3Rs4fIR2n41xgbL
qCkmn/4d0m2yzHLZBfQMS+O6dafZxplX697Wy1yLBVEfvpYGUMCdr2FwCitSdCyrBpCYOfOh6dz4
vsn1+qnTp+bZy7Ac9uPMSChREASkOHgEo4hMlDlxN2Y1uIDcSfh8FXnLPtQKwJzEAcQZOqeRk/VM
nVJksyvXNv3DW5xc45OQg0bPsjXJCzVrc+dppnQxQhT2rm5cxqylEfvNvuPe/Yb0dPxQeWb7BbOy
+zo4qAV3AhFHs24IGEfFUGauXAUeyYGoC+t4I6N5wvbSVt/saAzvGmJ02eXipkXkMCJLL8ui3tDp
rSeaoVIy4SjkrZYNydYQTtBu/FBNNudpHFdIgV2Ur53Veue0g8+jWW7/MSLFq1u74ZzcCmbBYhUA
RbwtCKdqVwVi8UsEK33Nnt3o1iGvhmzswL7AvLbeKtj/ujx+4fJQGHH6D/9p9f0tr/D5K8yVov1B
6fD2M38KEvXfUBigHMT6/yY7/I/awTV/QxSOjwOaFi0PHB9/dUIX6iEVuiK7/6GR+EPtQCcUxwib
M2UzgggqqX8jSPyx2WIbpITTA6HVaiLEoHJ91wdBHdTNhEvYB89rgIpGkbdKwtr8RQPkXYGq2Hgm
nxEzi0nwuineNx66vjZMZpeHLikIfe6Fj/4XffYnxXy9yx2w+dlcK1g95/uX776Pu7eS8n+KLr8r
46Jt/u//Ud/Xd80XAsJ5cfodnvC5bC4X+8fqGEgcEYIQSCgN/DLdubKB6DVSPIHFTe8TBI+fQz+v
MEwUsblhdhZ/HTVOlltHOuYmkzplAGScfdt7GYFJWg3BhaFT4yWsmEmGt62dZLVtQg7liCuC+5zs
3c3/4kPQ4vN1m6MzN9K7KyikVVHizv6hnkcD9Ec573ItJ1vNHaan2hQshXpKHJ4GOwRj5KgivCgj
SI5U5hG6SkjyDXIS8TisRA8Y3+c4uuvRiRyxlKQ7ryfWI487dQqeWzh5OYkZP/8MP3Zh3r4Hz3V8
2l+q72+8q/gbgkS6yR38AwaTYSMRUgK4k9PeLZNvP3+ldy2Y5RunJWzympBD/ybgsXu9wTTPK/U4
xJGSqa6G49Un2Zr1RdiYk3/+eu8eouX1aPkws+AWh6+p7sDv+tCGDu0s1zJeL4zlhRWFSWwHxuTn
r/IP1w9JEu0dmj2eYb5vwfqS5YKhvHeQBuMDj6tWmX58SBvv8ecvtPQBv+/N8MTYzEBYmNS68LdF
IQl1w4d9RHkAp/c4uw1xyj73zKRgeFOOj4ATLJpakgjT+6mHYVVlTB2tRA/u0V3M59y264ucHKpX
h4ofd0zMKbyHhX0ICVg+YU6d9jH35lMfugUW/FlYjO8TuGYcJHkRfPAkBntGfGgMp/kwOHN8+PmH
fIOe/vAp6bZAZEGb65LXwETox28tMIKsi2Y5HoaEyN+c+uuIgqs54lhId2VKNLDDTg9GmbBgFRvM
zZscAAbiqNVVqHAl8fEuScOoETc1lpcPOha0G9ufrE+uiiYGi4NcdDAedDprzC9JQ1pLB9uDIVJ/
F80kcbcq6jgKCzRTKv44Ba2W9OEnlrP04LREJIedYR96FZvM7hKxyQccn1AOHPDZQIZSQcsR5/V9
Y5beIzOW5JhoEJsKvY7aFYrcLxEbDyK1NDyShU34NIlM9aqfCXZGGJvt+8Cxt8iarLVjYe5yOocs
6FYPy0Mqy/S5xR2WqchobEXaLfPw6XWaiGvyVLQ0fAhzbwdWAlbMiYz1nFYobVUctY1b+rHqmvwD
XIj0W6VHJRZj4aOX82VETuZQojoqycb76NJU2Lgq+BrQaXZMVBg2GG7nlmrf27ReDGPczOPhlvD4
+ne8rCQZkqmNpYomHCnbWkrctlZk2sYK43CrufKU5/C8AXzUiL3849hrxU0ZVGQ9juhJwWAR6q1h
P4fsfaWu56bMkmqNrhAhvQoD13PzheEgJTH19DEkuJZWF+Hh2pIjrudivtFB0NFlUkHjgv1lnajw
caP0vSPqAfOzDJzmjsDupji2omP27TbmY2rtChVlLlWoeVeb5udSBZ2nkUFGZTXiVlZ+rScaxN26
TMeBr2YkUUAFpg8kp0eReTGCvCMYreqPLcXgatIIF17JyHhlGp5vJH7LyySz6ziwgYWriPY+zHDS
qdh25ALdWgq4YQajKhFaFii4MXwokvA6CJ1PkQqAj9pW3Ac6ofCJdD7gfcdaVhSbAUzfWkscep9k
KsL0k/qVO3YDAH2i5st+JnSeENxVl5C0iLKQ3FpioViisIzpeUFJB4HorHmhv0+bkR6PCrbXVMR9
pcLuMXaCZkxVEACpVD03Vz+4G7YhqAah5xToomNyZULH2Mum0c72XJZXrYYUgqJs+pwMjSCCrXE9
8plQQq0E7YPbmUYLy1Sj1+dp0i1qnTE76GYsDm7J4+JoKB9SeBoG3IctpLcI6EAE0KCNAgVPLb7I
3go/JqAMXh23mT6avRxOuef1QMV8WDLgLK6k0CqicdNgDQatP3Y6z5c2pSQEZxPGJvAHbqOT5Ou7
c73Ra4f0PQFvctTm8cnqRbFjVhMdRRpWWysrCV6fOmKCTSJYdacurmKwyXABUHWDaymukqKDRYCi
rj75FaJ7ZmTTXnOQ59WNSHdB0k/f+lYO5Y2YwmwTVBwKQEsLkOoGGhwD2nocsnPoc6BUQF21Ff1g
bPnE8uQ6eKoG2KobIxLTeW5F82H2B+vW4EG9mWJRg28L8IcCayr7rzpsZdycYsZXmMgvkUtGm1PG
7nOEMvuqQPf6qAnOF/SfI/y2A6eTniMftiqxgoSR8O5owdSo1aHlj8JJ77PQqj9CnEvppc0DGDvO
hZpdTfssBa+KdyHdVUTwPZdtkx1r2o2vsxYJsAdAzRLJh6wrjl9OVganmQSCwzSZ1Y1Jx+3kNsxE
poHJ7hrCEew07Gfo9Ho+OS2iWwWY2didSWQizWrSQ6zwdnYrSmSSJvgZw8+aD0RgK6AAXMyBJGqx
73vQcwHSSURqpksbtk0Te2v6kX2rszCsZ9QTexpXM2MGJ1v7bhecOKvYGCgdHw5RJk89vTjaQdH0
jTNw/xz3knW9NOpTggcqW3G2MWgk5PU+KDT73KLFv594AUKL4AyQkezSRrZxeX4iz02RXaG+3WNn
5Vd4ge6lgIZKdon+UXg2bAOAF25fl3umHPOw4rxonu1R7NuaRUGXnUmOgYKuUjoSTodovs+SaFcq
QGtZoIkNNGM9tG28slNoeYjV7mRQ4EROo7DfywX4yuV30y/S8uroSjY5UFhMmaDwxqKbEE2DDJQm
vJQrH1Vtxco6QWYtPMOKbsbBGPP5bdb534L1lwUrDKzvTkJ/K1g/fG4idOLtj2gCDP7qx/6oWRWa
wFdFk9JWgDKnxPxToQ/A+7c3WsEPkUYK92WAl+PM7VhqxP2XcIccJMvGOkcGEgWmzsv8C//cj2dg
HhFMenj4LIEqmen9e5Y8Hv4aE1HnXHLChOZ1EY/dRdI/JodlqJtP312Yf6gcf6xalxcDzwBoAdkO
io73Y+PQHpXdrbXoskzM0UjChBRCl/mtLUyBU72EAPc/+z2jpf/FS5sMvRUzn2Xp3UQ31lKdAa1u
XRD189K+VPFl04Cizu0cBLMejUU4AJK+eUN2zq8ECz8WUOqTuwbja6WzQj+0eC1+KGjMOCxYpc1L
lqssBE/r6bvTqyeIOoY9gtaanfAX5Y3xXp2wvCi3ioVwmLnA+yqKplzQhZVvXMDHGo8F+tajkTtw
tmmH+M8LKteKTV680zu4E1Hbta+OEidkGtbSdc0GtCfPnDZ8o0lyqucZzCz8fFr0zGyEfu6rAFFD
PKvYR5jFqIpHWrLmL4rBH0GPb9fOWSbbyN/IDXxX5nqDBw4MmgttZUZ6aZdZxzHrmOB5MMAes3gq
z2PK/vXzGwaD6ndNjj9e1efxQHKAFst/d8M4GonKoy31CwNv8iyX6Du3iL6JZKwvS9CCbTE5tV3K
/tWC3/z56//9wQRGR11KjIfPffP+Wel9n3lWOuqXN967emAmJXAjOfJX2jb9H24UZEg8WZT48Gve
q2mCyW0LITr9Yim1DOdIqLZ9rHPcW6bPUDqsz71w1NMpmMRApeVhWUa/8MD+rZCIu9Y0cSSZiEtw
Lr2/aw1LK/1aBJxA2UxrhhdBVl4ZuIT6VayCQX9+mf/pIVEdQZ5L/gLOoloR37Ua9CoR5GP2Bupe
ZuzFFDHXWqD1nSuAekt0cIu6CNggd/kSMg54CSnFpLJlSdady7PmgAgPa5tRWQqj8arlRLtdgg+i
qOdYUUwJT5ntFTgzfAx12e7nH2LR5f1VeS83q2vw/dHNsCGovI8jSRCtdd7k65cAB1C9o2Uv4ZrD
zsfmUr2o2eka+APr3sQFZJrhk0U9I/VoGC4cqiUaIU4titd5mBnJ6mDLX5eYg5+/z39YBZGg0n4V
Fm/Wfq9Q0kaQAk5g6Rd7drkgy2XWFatUFzDY4Ub/6s423j9FmDi5q9lz6Qaj6nv/innLYFSkU3NZ
JCB2y2wf5Iv6m0nR1gk0AdJ0kLcEcQC8FRVbhMYdq89D3ClPBezH9tUEAnWHg1OJAXkIYtNCqqEU
Z8slglLBTBMxPOxvJXRZImdI1LOOhssHYqDxK60Pn+Dd4sRmLfieOWJbBp2/98rJ2Ut9lwjb8ALk
gwZANc1yk7hacosrZ2oPjND7ARZIn7QbZrSZg1OBKN6dDxYmWWX82QJZQOWvjQQsG/WQuyNgE3gJ
PahOXxd6OJkIRexg3giToSbDlEF7qrQ8bDfCLUuJDUDxUCzfZVaPPI4nI1GwFLYAxU1JIBVbXlVc
QNZFZ6/JkyuKpfKmTzhlb7xSYkavjEz7qBPueasT7/1FYAzcZIyHo5VB1mrF++uj18lGUAIrMio2
ccv+fULOnJsct5Pqrl5gL+MCfrEUA8Z2I49GjOtq1XNXZKQtmIHrPvh+HVHNJGCWVtLoa4bXdghX
BSTUJNeUad7vSJsIAynypk0PM0p/Y1V3nUVKH1xt7Rh4unVlhB0Ck6oPToLW1wPzTp05ktWH8qIN
pJbCaEdKglnAwEgIcrmq7lxS1OQar0QUbLwEbU6IoOS5SrlHCOZCf+OUk489N8JTw9HA37p6i4sL
J5X9ufEtjgmFN6PNsdRC3KskDJLS+bHJbdDUBCbNcq8JMlwfWJTdK4j9acfOrEc69J35jcVDuxYw
D223+or+Drie8I3dU8Wjd6S9Q95a6rdf6Bg5JWYOVAYiTuTGN/PwRhqW3EkfglqN6mkQYv4ItDE+
Gb0HoYVzwO8AhEpMUUhsXHD+O2M2y084I+yPWHDsVe1U0Ss3yvg1JGytXc105Tai4+uhzdTihg4r
G8Cp26+5sZZ2R1CMI1HjeCVWXtm+WrVw0MDEYfUIKClOz33hNal1KorMzx/dHhwNkYtRhtRrkwNU
1ZhhAlDxALvhMA8M/qnTiLCrNZgpTcd/NxH4lm9gjPjVRy3qHZO3myYFWqJ6yr0dwUocfmb85WWa
cqULrS/PIqR3zGqvIXYDoQJqKRvICyfoL3siuIJvbJFY5BTIZGu4ivvvl6wV8cRdCd9IZzO1CsY1
a4Yp1YuPVw/1AD2DbBUnJSpRIb3N4A/cXkWITh7jDEt2bIWXzvXIEpwnslYCewDbGDOB3RJGwmqk
pOFL0tOSk9yQE3Gk04iQymIdcgkqBjxPWMeq5gn1oF+Y/PFTbatOlWmXZ451wXPnAP9Op7w8p0Vq
PNbCVr+pzPyrtsVepjQUQYD1ys/Dja63/JdwVh0UXFj6jSEE/4ESlQmQh07pszTYqYlKITucDpqe
3OAXZInBf+CpYHcCYtxyvP+DCrR0I9QayRnOuwpoQJ3dBBEhaq7mtfbVpVRuusem6fjl8m7zrsPN
RlXN0IVjpwHIIkYCuJxF0syx5G2RE+cehj1y6hnRS29xMpwMxjA9TvetYSTTfRdTbpgZok18X8g3
W4Q7myUdZDK49jo9WTQKPL8JpXjfvMYlN0OifsVgBQlNSNo3/SVUfkwOYIsocV6l8g5qP6xf0LFw
+h3jZrpfDgpziizqtHDCF+9N0qBalTVvBmdV8mqZGarAmOPQEZunuMFnp62dMsCMJLO0vOI24rsz
1LstypqNp8FboTQ89yJRer2yrP3topBBts5uju4QSWUA9fizAxMFPH/JuPsIFJ133vMzvWoYkUde
axKtz3LA6dRRJZ2T9vWt+Fmo4VMCaWlDioGVQedJa1hkTO3xKkJ4gChiW5/hicpsz7bDG6TliOjS
0wrG8GB/gt8zLeLFi+UR0mmgj7t+lOoYxM4D+Gq4eNZAHpHyUFBBeBzu+Fc/1NmAC8tmbStVqZJG
Oa01JZBkGSCbiW/6pmhM98jHKc9mrzmgUTt4p5AYebd9F8sDgfY4JNTtuagPRYgaj7aTSsNIepSK
lkdH8LoaQo3GfxRQA+oO1KQVYwvP3DJm480EKoP8TbPb6ghnxj52H5OU1v62rQVhG4bPPZJFtM2j
fOCajlXO518WgTQzUZvHgM/WGa7HK0Bz5hEVOA+co14+H4hqStRTn7V69UJaZvnmmOG4Xx/qwORb
jY0GhBcbOddh4Ai6pEPByRjvxil0Pi/q11QoIR+CYnSWoc0TL2XDO1nuRGtM9OY8xCwBto48c6uT
YWlypq3D5s4fA0BcXqm+oKS2WJoM4ikPucQWF7fzCNGJcrTZzk6rNL8eqtqVgUX1Aem1/XlxvBia
Rw3gJ5QhiFb1x8FUzH3TmBAGs84T1TTFfvWC9onTe60P493iCWIn4ozcOKxAaMfj/VLwzmTWvMy6
ySPKxOYxZukmEpiS9pF2vv6Ioo2vpVWntBn5LWR/xbRfts1pFtxRVaZBFPMiPvtsV4hXDUYOkARp
3avwluWq0U0bfTreejZvmB3x0Dv4dtI4sD5XXcvzWqiAhCwteKzmCb61S4TurkOhAlAV391rHZOj
sMZkxeoYNdI2VxG3PKbllLCtKFZJfwPy1cMU2yipbXJo7ftRDoVcF9iRVcIW6lf6c9w1/G7/uVAO
3SzrLPK2Sq3cAkwYslPeO/w0AzSjfqCJO3CLBAxK1rPS78XJsvaNBij0MiQwKOIoQmD0drZa6hVG
EeV5uQBva5Eq3HuVarYsrDIkF3i93LtBOLKtjRhCDqMbT78zig8uy/1pGV2wT2gE7PuittJrt/O4
RTzRyQORUP0pCiesi283RA5l9VsFO7hf55LoGi2Bm5YpCzNtXf1xuSucMeWhSI2AtBriwPZ6XRDJ
aKtuA1pNeDkOugXUhDaD3vWERWTt1gZNCAmEZV4hHqWqGnLuvlgiFJIWE5P9xEFIbqg99RuILWTY
qcWBuVI5bPQs5Mlyg5odxjVMc1dW3DTkQ7Dam7F+y8xyvrwJ2QVEpm7dDizaywpopS3ywzJwudht
AC5o5WMmhtjgDjw2agOCjh6aE7C+Hq3tqgxlH+xgipMsVCBjgNDXtTxmJtI2E0nWNN6/haShI/Sf
fZUyFNohn5twZ+Cbg2G12iaxJCApovIq6He6F4+HtuuL6FZXCIVjoehpmKF4F7bX8gphXHK3C8Ra
8rG1Ow4hoZb6z4u1u8A2z+d1/QESkeE+dN6Y3+LX/RJpATFIJD0dbECgK1elRKDbT76FJogH14AX
YTqU1KixTR7gke0Rty070hQPePZoefqcUCbnGbk+1zmu+EJLe5jHvdYl5k4U3tRjRyaYN+rH/BhX
VXJtWo2ur9k18yOV/XgodAgNa6A/xXVQMvz1x4zzgmMgL8OdyB0mGwOUJw6vVpxqtfifkiCkEUlj
Xr+BbVdSwSD5PC7i94IuG7EaWTBoD2Fi8PXIvOLvta9zkRZDxmJ78cwBsL5Ui3/dc8bJ1ZFucSrA
XueEN9bauqsHnhlVKKck5JwH0+dR9aOaUaogkuYumF2aTUbJ+cAKBt7puGwmAdbql9mOyxS1tco3
Sf2KXEC1h+v4uJ8DL+AOWgrDkCjg6oTjghmCbFnTSlIVgjP9NJXQVBLK4iPfU3DNm3C0ke5rbfNq
zBPJdGZqHanB+F4Lx2D/RHDK3ZqHrFazyhPteeX1sm76ScriiGXRJG4Bx4mRqfPmoqnPpUc+DIBJ
1ujRql7SjJz2smXdkzWPUEsA1T4OtPREZtLOCdXKPM8lOxC1XXQw7Cj+avWOaM521fHEtYpjYSN8
vtLeThi4FjqNnTlPC49ETHcW7pGCbUTlSn2zgnQg90yXul2mnFPUKi2D5hSVL25WWna2z6pEn4dL
4qLVp9cUGFQSucPG4vST8xjRsd7MNVKmyh55HuZQLQfLkdkW+Tfio8CP+Tisd0yUwUk7U2vseOXo
EYLE+DRGznwVoTR9qmDvg5J1fVZnqp2ZoG+jgzLu5ALCklVpd8ofN67xioDANKU5HozQ1r50lWm/
JgDkv2acKr+V2dg8D8ZAmCbnKuNMHJu40hVPM1NkTRg7QDa7BbhZ1xD6tzUxoifbHOOb2AXLGSZO
/CGv2vDB4YyPJD+HZJEqjOfk2dONb1bBUwQ/7UtZT/xJ9kL8jFElhHfzQgLNRDhAsG4x4awIm/4j
//S/E55fTXgYLNBg+f9LEj98bdr/eY5lGL8jJWKzUj/5pzDRRUfoOA79fdQ+Jmbs/wx5PAM6E6mZ
TD2WWYtBn+pPUqL4zaE7hdiJCGdA09/FMZvub6gSsaSi8cJdSEPi30x6yH3+oWuEdstU0EVLYaJ0
Vtf37t5wsoYMdUJ0xHbbnUuv4CiD+6k5mwSybTKr5eCbdqZ+D8gQ808IQyAe400m9OGA9BtlehB0
7k62vnygl6AxWc84NsLJ2Ue+xo4Zdz56/9Gud7DmWlAoaWQfGae4ctclXQCWQbMGDGWendkrK7Wd
Te8zIberfOTwS2HvpQDJ5BRKKARe+KQXKMyBRpAK4TvJR9h1z3qTBUSdBM30NLc9rdohm3Zxr4lN
ayXdBa+JfmJUB5piLBoVdKJlDO21APQcCJorfkSvkMq5/b4qtUscVEmDoDgZDhIX1vU8TMVqbEzx
Aa57f8ajOz0iVCFkVTbRHeAUp175s/rkxEQ0WDicGDNfAprItXtYaQS/P4SRTTCJOcIvbPjfrqj1
M/vTUwmYQoFK+mvPmpAHZu1aq8H0hX3Z43iLrfYhxQBzF5S6eQksU4wsM9TAO6Lj+cSZp81EmoGh
hh8NUIllfeVMdbbhPcOnaFprbZXQHJCsu0R8mR+6NK0OtCXpBoDS07voltgHUBDGBLN446K0WVv2
YJFYGs4W6g9ONQg2YcZ6ztxiBWwPoHvA7zcoElZVPOtbrTfIiEkmk9C2prD5PuzuChDwoU3ES4wV
btPxWbbIGp6DAtaJP8inidwbojBF8QnQ5nTSieQgRciLUIBN21BvbSh1YXjfWIUJ08Ylu8FL8vom
K0hC4Crnkbuq8tJBtdU4d6mpBYAH3f4lkIFxIVko2dqhM15Nc/UVywsWI6xpzjaoY9ZMMlRPI/uK
TBxzbXr6eIWmjn6G7kDOLLTgopvtR2hXxdrGEHaMHBmEZzJ+sv4yUrLUn4FxNZ/EUHff4qRnEJNX
9llpeR9Sx0o2OAa6K7tpamfd9jmXbKhyed0Z4hO7bXejVQYen0F8JTga8dpQEidkF/URnzRmk5js
iylz9WaTy8l78WgNPmIzKdcJEW1bp0ZJB0Wn6/KDsDo7gVZUFhmugGH4FMH2ERudLGokshrWI/qt
Eigp3/LWxkK+pfzsxaUvZ6JmRCSuKuVVWo/6FFz6yrgbbP0FlsGLkKRU02XeSlfk1cF3Yro1FpId
ue8b7hgRGs4H1EmPYVB9FZQH0yqBqLOVTJE4UXKuuo0y8pUK34vhETrGIWTNuedPAHluNhGgtviM
TnA4jmBQODeTyMamFxKQeY1HaA73XjDKEBVI9ZLHWoXGop3A/4hml2hdcNd3BfKlOsVg1pv9BqD7
uOuEvweFRA4hvKv6YsxgpA5doOc+jqMpOWM0TNJt3CDqX43wC68bsjy2rllGRypefVtX7bByXE3b
6JXjfbBkPtmrdj4XwtUOIdasfeqxvQdE4e7sgOOtL6ZhV1gJrS/IoR+xrEybPKmHsxe7dPVaePv0
ojjsNFaKQyyxL1Bc023lpP0KRGm+Js8aGVKdI0NJTZDUXQf+ziLOstfz8Hro7YErkKgEkUzYR7v1
5PUoWu15CDdRl507tEyAu5uKZmFYclDWzHyXVGdnGj9Cg3I2JQfo4zgH89bmd50zW5TXembWjJss
bSRctawNWuOE57jHlH4fK5WsL6YvzUekvgCciL7ZRLYeDeupmicYXkFJaE6Wpi8zRx90Je5wti1d
BX33nxAQJpz2u2hcMfiUO0V2wE3S3+CcnL7RRSGqhAb8jhQuALJuXHX7McBXFDg1zrkIYFXkFPqG
KLHuGORTRgsrkFdx1n1iYwGqRJzJoZjrgac0KLV51VbDgNYyj9sveFPNbOtabnNl5YG/60P9IWQ0
cjC1XJzpjFZrWXjJPnO1fIUK9dBUVFvAiz0gtER+6jRzD4YsxFFMqJACP42OzkDKkhoAn50WIRU7
trdrKmFcdXj5zmPhxjTqsvvAmae124TunsN6463whH/r6D2VtOI9a8WRzloPeBlpmxs17R49pyYM
03ojFNBML9daORrT2uYRvY6qkOOggCKXZsARqHz9jU1s2glRdbAbuvo85nlNRBKJ3XYpx3WIC4Xx
QFZd0avghN5Z0VHOQOn8Nj+GtqRbCme3S4ff85wsKEHHbAsp9KnUJZZD2YSHbsjMTR7gW0NNjPzU
vDFzEr+8rrcvgxXnO6k1N+GU3GMC1i5DlNyNXNdTMALBkyK7Cd183o1O6rM14ulCcNY3DrlexBKQ
AQ3D3+7JDpJ0OJ6slH7c0HFd72topc6JxiINt6kRYbk12DnlylgApfR0lPXOWtClDnMOsY0Cn2I4
j4WvfRwW4Gns0gDfxDYcVGphxUQdUz0j3cBtdX06VHb8YLvSSSCmzhxliLu0GGfQ7kLFq5srI6HT
Bm1J5l+nUh+J4OmIgTNKQ4s2FRnNH8yqGz/kpRhPJGfq564umn09aaDgergk0JsmGh9o6QaW/qzg
GvRRe5hQqzLnYsX0Us35PCVeQm3RJSc8GJ25wnib33tzF59ykTcb00TdRWm+mwyPIGyj0/ZNC3q5
mbx6N3i1jvazJWkoL1heU3peINQmpA0QpMJnawqqjUte8kpWNE1WPu7+Qyxn0PBitjskv50+rNjd
UKCV2BnOsuryaNsaEnQWY7QOhSA7l9jZ8A1p5kzQCjB7drTtMcCf8DiBv5y9pu+OIpq6cxalGmLt
2uHgF4guZVRg+bc6SW/tGldgHe9Sm45z6fmMG0lPg1Uc1uKF6C2MsSBuk4sXyfqe5vHQMF6b4nVJ
hMm+iQMqWFQWh1mPxn6FqqEXKzFJF3MvrMsPGcydTdD4+lWeqMTtDNrtx9mMSStr7L3ZgjomJa5F
9uYVGOlqenfgls3+EMZoclcaAYVbc9TyG2tSRSwnoDpb5yBRj/CmxYcgiJJ1WEEuhktselTHk1UQ
+pG2guTwtv3I4j1vTS7SufT13yEJEgzkUmKu+EaDmnwsMVFpSnLCBiJHp5XsbGPdAq+u1pYT5bdF
3XhoIdOo27Z2dF3ZQ7Xzh7wlatm1jw6eVJy9wDQuTSa7FKpgke0tBR/0+dJOXtfU/SYrrOl1DDwC
pzhzPxmT454DC/Ce4hu6Vw1Ob2cThDAXrnNhm2tjcj+2oM8/EEnCJDG0Lfhy6CYNnLpHyQhVrpsk
cV7MymIU3Hi0y2LEFuwlhn+doaT+aoDdpysY659ZT+NTPGg6LQTL+dgDacVbSo4FiU01fMxNK/CB
hmgO8bLgMAWxjkPWGYpVyfx2y3DN3/sjQmp77Ht6Kv1wgxhxuG/wV6+SYhjXiZ1CNkyr6PME0rBe
GWVp4ZEvkZlVeiW3tdG3sLdxKZpBW2/Jmnd2Ri/cV4RL4xWSpPnGI5zpoRrQjKxZz5NvZas3j34h
so+hLrIQ6Wbin/DzBqfYzcRJVAE6J+7Xs6hD52LO7bAekNoeDRrHW20GB6i7VrWdAIpz9hcOlvQA
mbjbRilLc17sBqey90mmFcdRcBav/Gx4xMtsMiWU27aqoaaHTKuTJO9vEtc1ziwS/YYHkIfFhaPZ
EIF9baYyXkdaDSU1T5ztRLBeucbXXq/KvOFZl1ZyrmLOKFku4Fb5bfYlSh17PriEsW/junNQIJfD
q5MTBriuMn+87g1jNHeDtMo3Fcl/6/9f1v+Au35a/zMTR+H5gyWRTAR+5k95p7B+46GDrodUDAuM
quH/gLPpus7/UnMKhVFGxfZX4a8cicKg5LeWbCnVLvjTkShU8JSLyMNDsqgQO/+m8H9npsKnZyuX
k4/LzUJRaqq2wHcKp6Ab9NgO6uGmy1/DJttE2e/fXY1/kHX+KNBDV/PuBd5J5eRoZnk18gJegpcb
20Xnf477m9hnMPELVd4ie/tL6aQ0PGR4oXzFRuUjg30v6JnwH2Q25I7rxM6YSUHL0Aye3ommgpHW
9qcmGUPvS0TSTouWoSIgdF6XTDLj4oTqpQ7zV9QMnhtSUFqR8N09ya6qAVd0X2MYHHF+1UmyWKwz
crf5mDV+EshHL0HC7yBMCx6nut3BnLJPDUeGu4QKNIZpEtQFWNPCoPNrSkTaRu9o7IFDb/otWRR5
HaUPtW+EPYIT9h4XZETpsa/H9BFxJHTGScKPeZrQNZ6zoO7gOvbkEe6ggmZmfnZbaJz26LAK6sDr
P+HUcFapBqlxBXdK/j/urqWpbRgI/5UMdxjyIE4OMNMJDKQ0SQv00FNH2AKrcaKM7BDSX99v5ShY
dmKYSAemHi5g82m1Wq2k1T4GpwFKj006x8Hi7+2frB8f369wOd+ZX7VfnpHrf0He9Nnr7+sAuXTS
az34/43W2HSE3LavdLLGH0uu1nc8Reh/ahyn6a0Od32Qh31UD9TghTSRoVzOM6IAlzZWwkfMzsK8
25Kk6a1DSFgmsmXEz49QWuUM7hsB9AzuOfAg/jlB5eTN6+M+vMrhU9qlHGH6yRsssGgfE+r7l3Oz
/hurByyCQr1E3L4SYWbpVbhKQT9ZtlhNU5ULJYwCFxAgDksqkl5CgdIDd9cSF3BzghqB5OZMT278
/URcQGA3uXC6cSE4wVmj1SO7s+llkQu9s5NWL0CcepO84vHkbP9EXECOfgotd+ZCswX/z26wkwtB
D9WNsH71kV9OP5gxaPBDXPjAR1sFM4hFEmnVIni6SwPt+8BMqur7zYQaRojQh+awPqQdT972m+a5
sCaM7mLhpemybmfz75sOVpu22jK9Mn+8EVwxhKit9Yv1hswxm0FBfUnYI5ux4ozHHAXP3yg5P7Lo
LIz/O8DptIRLgQLOuArRC3MbGOkVfQBP2TxlqUGiYcRhGKrKleQBS8STVKWrqjPE+nrAlolULJIG
iahGNA02fM5US5Q4CTOBktYGTINj52x+37mN32qHOum45AlbMcUNEiH3ehRT5Uq2WcMa8qmBfeRy
9mjXUkPQlwcpRFinEpEthYiEwSnDlf5rLnGtaSPDcxNq1xX5BhwXwuBo8W7r1NSuwMOIxZYANlH3
zYMKGcJFElXc7RmJddiD/A3nkWAlLYKoBA/jN5Qre/CQEYbOpYX95iHq9LaqmxCv52G+3IKyZThd
GxK1XOS7HVeav0mEpFfY3G/1PMjGiIm5pT0oW5CHiT1iyPLF5lGRHajG5GMIRyxNWYjUZTzLLJlG
suKOD5aIMBbPzD7B4DrFw1owElTuSmaWZCM2telhwoxEmtLPYmHpJtQfOvWELpeqDO2FcCTFKukQ
SofcN6Jz+Oo45o8KUQU2t3Fw8AL9wux1C8YYMkC5TvYxXzVu2GyRxsJe1oHf96AACf8rVylfG1pJ
UyF5Z9MT+Ii/itBaxgDuY0Unyn9JNS3R3fWgvMdSZXFjwJTESmmLS7tLQaXOo6obuGTT8tyHo5WH
LckkFjbHO5AWd6on0wQ7EvtUg2DvvgclO1H8uWwkwpW6O83f36n967h/uItlxBvDtLK2BV060rvK
yb1c7hFEmI+oVoCfBqqCSPAe9oO19RwdWf/AX+1TZTs3qbmy5GfGYsNY0oUoctXysNbXpHt0ZMRO
h83cpOTKi/qUH450v+tt6opfV2zIFXv/TVkt8i5L09YKV7U/GXvzrn+zjWv0RZhwpi7+AQAA//8=
</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862012</xdr:colOff>
      <xdr:row>12</xdr:row>
      <xdr:rowOff>123825</xdr:rowOff>
    </xdr:from>
    <xdr:to>
      <xdr:col>7</xdr:col>
      <xdr:colOff>366712</xdr:colOff>
      <xdr:row>27</xdr:row>
      <xdr:rowOff>152400</xdr:rowOff>
    </xdr:to>
    <xdr:graphicFrame macro="">
      <xdr:nvGraphicFramePr>
        <xdr:cNvPr id="2" name="Chart 1">
          <a:extLst>
            <a:ext uri="{FF2B5EF4-FFF2-40B4-BE49-F238E27FC236}">
              <a16:creationId xmlns:a16="http://schemas.microsoft.com/office/drawing/2014/main" id="{F634B121-40EC-4FB2-A78D-756A90DB6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147637</xdr:colOff>
      <xdr:row>23</xdr:row>
      <xdr:rowOff>142875</xdr:rowOff>
    </xdr:from>
    <xdr:to>
      <xdr:col>7</xdr:col>
      <xdr:colOff>652462</xdr:colOff>
      <xdr:row>38</xdr:row>
      <xdr:rowOff>171450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D45355D-2279-4D53-B883-68B4F58A2F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86012" y="44481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166687</xdr:colOff>
      <xdr:row>12</xdr:row>
      <xdr:rowOff>9525</xdr:rowOff>
    </xdr:from>
    <xdr:to>
      <xdr:col>24</xdr:col>
      <xdr:colOff>166687</xdr:colOff>
      <xdr:row>27</xdr:row>
      <xdr:rowOff>38100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3EBDBD0-D0CA-40AE-BCD2-BD2D634865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25712" y="2286000"/>
              <a:ext cx="4572000" cy="2781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166687</xdr:colOff>
      <xdr:row>12</xdr:row>
      <xdr:rowOff>9525</xdr:rowOff>
    </xdr:from>
    <xdr:to>
      <xdr:col>24</xdr:col>
      <xdr:colOff>166687</xdr:colOff>
      <xdr:row>27</xdr:row>
      <xdr:rowOff>38100</xdr:rowOff>
    </xdr:to>
    <xdr:graphicFrame macro="">
      <xdr:nvGraphicFramePr>
        <xdr:cNvPr id="8" name="Chart 7">
          <a:extLst>
            <a:ext uri="{FF2B5EF4-FFF2-40B4-BE49-F238E27FC236}">
              <a16:creationId xmlns:a16="http://schemas.microsoft.com/office/drawing/2014/main" id="{1AE6A8AE-8E79-456A-8807-3D9EBC2D0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890587</xdr:colOff>
      <xdr:row>28</xdr:row>
      <xdr:rowOff>76200</xdr:rowOff>
    </xdr:from>
    <xdr:to>
      <xdr:col>25</xdr:col>
      <xdr:colOff>252412</xdr:colOff>
      <xdr:row>43</xdr:row>
      <xdr:rowOff>104775</xdr:rowOff>
    </xdr:to>
    <xdr:graphicFrame macro="">
      <xdr:nvGraphicFramePr>
        <xdr:cNvPr id="14" name="Chart 13">
          <a:extLst>
            <a:ext uri="{FF2B5EF4-FFF2-40B4-BE49-F238E27FC236}">
              <a16:creationId xmlns:a16="http://schemas.microsoft.com/office/drawing/2014/main" id="{EF7E2E36-DB4F-4B2D-AB71-E51454249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190500</xdr:colOff>
      <xdr:row>11</xdr:row>
      <xdr:rowOff>133350</xdr:rowOff>
    </xdr:from>
    <xdr:to>
      <xdr:col>15</xdr:col>
      <xdr:colOff>838200</xdr:colOff>
      <xdr:row>25</xdr:row>
      <xdr:rowOff>85725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5E8B7B1-C6D7-4D8B-87E4-8AF080B6DA3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96625" y="2228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22</xdr:row>
      <xdr:rowOff>104775</xdr:rowOff>
    </xdr:from>
    <xdr:to>
      <xdr:col>19</xdr:col>
      <xdr:colOff>952500</xdr:colOff>
      <xdr:row>36</xdr:row>
      <xdr:rowOff>95250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02D0E566-ED6D-4F96-9DD6-F44BB56303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287500" y="422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26</xdr:row>
      <xdr:rowOff>28575</xdr:rowOff>
    </xdr:from>
    <xdr:to>
      <xdr:col>16</xdr:col>
      <xdr:colOff>628650</xdr:colOff>
      <xdr:row>40</xdr:row>
      <xdr:rowOff>19050</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8D68E16B-C77F-4D7A-8A70-856674E5B6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934825" y="487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57150</xdr:rowOff>
    </xdr:from>
    <xdr:to>
      <xdr:col>19</xdr:col>
      <xdr:colOff>590550</xdr:colOff>
      <xdr:row>40</xdr:row>
      <xdr:rowOff>104774</xdr:rowOff>
    </xdr:to>
    <xdr:sp macro="" textlink="">
      <xdr:nvSpPr>
        <xdr:cNvPr id="3" name="Rectangle: Rounded Corners 2">
          <a:extLst>
            <a:ext uri="{FF2B5EF4-FFF2-40B4-BE49-F238E27FC236}">
              <a16:creationId xmlns:a16="http://schemas.microsoft.com/office/drawing/2014/main" id="{528A8D71-A5CF-41A1-B88F-EFE8D2A159DE}"/>
            </a:ext>
          </a:extLst>
        </xdr:cNvPr>
        <xdr:cNvSpPr/>
      </xdr:nvSpPr>
      <xdr:spPr>
        <a:xfrm>
          <a:off x="0" y="57150"/>
          <a:ext cx="13620750" cy="7286624"/>
        </a:xfrm>
        <a:prstGeom prst="roundRect">
          <a:avLst>
            <a:gd name="adj" fmla="val 2288"/>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66676</xdr:rowOff>
    </xdr:from>
    <xdr:to>
      <xdr:col>3</xdr:col>
      <xdr:colOff>304800</xdr:colOff>
      <xdr:row>6</xdr:row>
      <xdr:rowOff>123826</xdr:rowOff>
    </xdr:to>
    <xdr:sp macro="" textlink="">
      <xdr:nvSpPr>
        <xdr:cNvPr id="4" name="Rectangle: Rounded Corners 3">
          <a:extLst>
            <a:ext uri="{FF2B5EF4-FFF2-40B4-BE49-F238E27FC236}">
              <a16:creationId xmlns:a16="http://schemas.microsoft.com/office/drawing/2014/main" id="{DEB1A217-D7E7-4A00-AD48-2FAC23748464}"/>
            </a:ext>
          </a:extLst>
        </xdr:cNvPr>
        <xdr:cNvSpPr/>
      </xdr:nvSpPr>
      <xdr:spPr>
        <a:xfrm>
          <a:off x="57150" y="66676"/>
          <a:ext cx="2305050" cy="1143000"/>
        </a:xfrm>
        <a:prstGeom prst="roundRect">
          <a:avLst>
            <a:gd name="adj" fmla="val 11667"/>
          </a:avLst>
        </a:prstGeom>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Andalus" panose="02020603050405020304" pitchFamily="18" charset="-78"/>
              <a:cs typeface="Andalus" panose="02020603050405020304" pitchFamily="18" charset="-78"/>
            </a:rPr>
            <a:t>N.</a:t>
          </a:r>
          <a:r>
            <a:rPr lang="en-US" sz="2400" b="1" baseline="0">
              <a:solidFill>
                <a:schemeClr val="tx1"/>
              </a:solidFill>
              <a:latin typeface="Andalus" panose="02020603050405020304" pitchFamily="18" charset="-78"/>
              <a:cs typeface="Andalus" panose="02020603050405020304" pitchFamily="18" charset="-78"/>
            </a:rPr>
            <a:t> Abid</a:t>
          </a:r>
        </a:p>
        <a:p>
          <a:pPr algn="ctr"/>
          <a:r>
            <a:rPr lang="en-US" sz="2400" b="1" baseline="0">
              <a:solidFill>
                <a:schemeClr val="tx1"/>
              </a:solidFill>
              <a:latin typeface="Andalus" panose="02020603050405020304" pitchFamily="18" charset="-78"/>
              <a:cs typeface="Andalus" panose="02020603050405020304" pitchFamily="18" charset="-78"/>
            </a:rPr>
            <a:t>Data Scientist</a:t>
          </a:r>
          <a:endParaRPr lang="en-US" sz="2400" b="1">
            <a:solidFill>
              <a:schemeClr val="tx1"/>
            </a:solidFill>
            <a:latin typeface="Andalus" panose="02020603050405020304" pitchFamily="18" charset="-78"/>
            <a:cs typeface="Andalus" panose="02020603050405020304" pitchFamily="18" charset="-78"/>
          </a:endParaRPr>
        </a:p>
      </xdr:txBody>
    </xdr:sp>
    <xdr:clientData/>
  </xdr:twoCellAnchor>
  <xdr:twoCellAnchor>
    <xdr:from>
      <xdr:col>3</xdr:col>
      <xdr:colOff>457200</xdr:colOff>
      <xdr:row>0</xdr:row>
      <xdr:rowOff>66676</xdr:rowOff>
    </xdr:from>
    <xdr:to>
      <xdr:col>19</xdr:col>
      <xdr:colOff>552449</xdr:colOff>
      <xdr:row>6</xdr:row>
      <xdr:rowOff>123826</xdr:rowOff>
    </xdr:to>
    <xdr:sp macro="" textlink="">
      <xdr:nvSpPr>
        <xdr:cNvPr id="6" name="Rectangle: Rounded Corners 5">
          <a:extLst>
            <a:ext uri="{FF2B5EF4-FFF2-40B4-BE49-F238E27FC236}">
              <a16:creationId xmlns:a16="http://schemas.microsoft.com/office/drawing/2014/main" id="{41D6EC7E-A01E-4D19-A5D3-D39C3B53D7AB}"/>
            </a:ext>
          </a:extLst>
        </xdr:cNvPr>
        <xdr:cNvSpPr/>
      </xdr:nvSpPr>
      <xdr:spPr>
        <a:xfrm>
          <a:off x="2514600" y="66676"/>
          <a:ext cx="11068049" cy="1143000"/>
        </a:xfrm>
        <a:prstGeom prst="roundRect">
          <a:avLst>
            <a:gd name="adj" fmla="val 10834"/>
          </a:avLst>
        </a:prstGeom>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xdr:colOff>
      <xdr:row>7</xdr:row>
      <xdr:rowOff>57151</xdr:rowOff>
    </xdr:from>
    <xdr:to>
      <xdr:col>3</xdr:col>
      <xdr:colOff>457199</xdr:colOff>
      <xdr:row>40</xdr:row>
      <xdr:rowOff>57150</xdr:rowOff>
    </xdr:to>
    <xdr:sp macro="" textlink="">
      <xdr:nvSpPr>
        <xdr:cNvPr id="7" name="Rectangle: Rounded Corners 6">
          <a:extLst>
            <a:ext uri="{FF2B5EF4-FFF2-40B4-BE49-F238E27FC236}">
              <a16:creationId xmlns:a16="http://schemas.microsoft.com/office/drawing/2014/main" id="{178F80CA-B29A-42F2-A9E9-34157F363F16}"/>
            </a:ext>
          </a:extLst>
        </xdr:cNvPr>
        <xdr:cNvSpPr/>
      </xdr:nvSpPr>
      <xdr:spPr>
        <a:xfrm>
          <a:off x="47624" y="1323976"/>
          <a:ext cx="2466975" cy="5972174"/>
        </a:xfrm>
        <a:prstGeom prst="roundRect">
          <a:avLst>
            <a:gd name="adj" fmla="val 9736"/>
          </a:avLst>
        </a:prstGeom>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657225</xdr:colOff>
      <xdr:row>7</xdr:row>
      <xdr:rowOff>76200</xdr:rowOff>
    </xdr:from>
    <xdr:to>
      <xdr:col>6</xdr:col>
      <xdr:colOff>295275</xdr:colOff>
      <xdr:row>12</xdr:row>
      <xdr:rowOff>85725</xdr:rowOff>
    </xdr:to>
    <xdr:sp macro="" textlink="">
      <xdr:nvSpPr>
        <xdr:cNvPr id="8" name="Rectangle: Rounded Corners 7">
          <a:extLst>
            <a:ext uri="{FF2B5EF4-FFF2-40B4-BE49-F238E27FC236}">
              <a16:creationId xmlns:a16="http://schemas.microsoft.com/office/drawing/2014/main" id="{44E8DDE2-AE6C-4B4F-9A6F-AC99309BD9C3}"/>
            </a:ext>
          </a:extLst>
        </xdr:cNvPr>
        <xdr:cNvSpPr/>
      </xdr:nvSpPr>
      <xdr:spPr>
        <a:xfrm>
          <a:off x="2714625" y="1343025"/>
          <a:ext cx="1695450" cy="914400"/>
        </a:xfrm>
        <a:prstGeom prst="roundRect">
          <a:avLst>
            <a:gd name="adj" fmla="val 9375"/>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400050</xdr:colOff>
      <xdr:row>7</xdr:row>
      <xdr:rowOff>38100</xdr:rowOff>
    </xdr:from>
    <xdr:to>
      <xdr:col>9</xdr:col>
      <xdr:colOff>38100</xdr:colOff>
      <xdr:row>12</xdr:row>
      <xdr:rowOff>47625</xdr:rowOff>
    </xdr:to>
    <xdr:sp macro="" textlink="">
      <xdr:nvSpPr>
        <xdr:cNvPr id="9" name="Rectangle: Rounded Corners 8">
          <a:extLst>
            <a:ext uri="{FF2B5EF4-FFF2-40B4-BE49-F238E27FC236}">
              <a16:creationId xmlns:a16="http://schemas.microsoft.com/office/drawing/2014/main" id="{62F9CA61-4519-485E-8844-E4E254B755CD}"/>
            </a:ext>
          </a:extLst>
        </xdr:cNvPr>
        <xdr:cNvSpPr/>
      </xdr:nvSpPr>
      <xdr:spPr>
        <a:xfrm>
          <a:off x="4514850" y="1304925"/>
          <a:ext cx="1695450" cy="914400"/>
        </a:xfrm>
        <a:prstGeom prst="roundRect">
          <a:avLst>
            <a:gd name="adj" fmla="val 9375"/>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657224</xdr:colOff>
      <xdr:row>13</xdr:row>
      <xdr:rowOff>38100</xdr:rowOff>
    </xdr:from>
    <xdr:to>
      <xdr:col>9</xdr:col>
      <xdr:colOff>38099</xdr:colOff>
      <xdr:row>26</xdr:row>
      <xdr:rowOff>85725</xdr:rowOff>
    </xdr:to>
    <xdr:sp macro="" textlink="">
      <xdr:nvSpPr>
        <xdr:cNvPr id="10" name="Rectangle: Rounded Corners 9">
          <a:extLst>
            <a:ext uri="{FF2B5EF4-FFF2-40B4-BE49-F238E27FC236}">
              <a16:creationId xmlns:a16="http://schemas.microsoft.com/office/drawing/2014/main" id="{DC092DFD-4575-4CE1-929D-0EE85B721D2A}"/>
            </a:ext>
          </a:extLst>
        </xdr:cNvPr>
        <xdr:cNvSpPr/>
      </xdr:nvSpPr>
      <xdr:spPr>
        <a:xfrm>
          <a:off x="2714624" y="2390775"/>
          <a:ext cx="3495675" cy="2400300"/>
        </a:xfrm>
        <a:prstGeom prst="roundRect">
          <a:avLst>
            <a:gd name="adj" fmla="val 4880"/>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161924</xdr:colOff>
      <xdr:row>7</xdr:row>
      <xdr:rowOff>76199</xdr:rowOff>
    </xdr:from>
    <xdr:to>
      <xdr:col>14</xdr:col>
      <xdr:colOff>228599</xdr:colOff>
      <xdr:row>29</xdr:row>
      <xdr:rowOff>114300</xdr:rowOff>
    </xdr:to>
    <xdr:sp macro="" textlink="">
      <xdr:nvSpPr>
        <xdr:cNvPr id="13" name="Rectangle: Rounded Corners 12">
          <a:extLst>
            <a:ext uri="{FF2B5EF4-FFF2-40B4-BE49-F238E27FC236}">
              <a16:creationId xmlns:a16="http://schemas.microsoft.com/office/drawing/2014/main" id="{88F052EF-8B06-4751-93E3-7F142929B0D0}"/>
            </a:ext>
          </a:extLst>
        </xdr:cNvPr>
        <xdr:cNvSpPr/>
      </xdr:nvSpPr>
      <xdr:spPr>
        <a:xfrm>
          <a:off x="6334124" y="1343024"/>
          <a:ext cx="3495675" cy="4019551"/>
        </a:xfrm>
        <a:prstGeom prst="roundRect">
          <a:avLst>
            <a:gd name="adj" fmla="val 4880"/>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619125</xdr:colOff>
      <xdr:row>26</xdr:row>
      <xdr:rowOff>152401</xdr:rowOff>
    </xdr:from>
    <xdr:to>
      <xdr:col>9</xdr:col>
      <xdr:colOff>76201</xdr:colOff>
      <xdr:row>39</xdr:row>
      <xdr:rowOff>161926</xdr:rowOff>
    </xdr:to>
    <xdr:sp macro="" textlink="">
      <xdr:nvSpPr>
        <xdr:cNvPr id="14" name="Rectangle: Rounded Corners 13">
          <a:extLst>
            <a:ext uri="{FF2B5EF4-FFF2-40B4-BE49-F238E27FC236}">
              <a16:creationId xmlns:a16="http://schemas.microsoft.com/office/drawing/2014/main" id="{81FE2E4E-106D-494E-8995-64E654583903}"/>
            </a:ext>
          </a:extLst>
        </xdr:cNvPr>
        <xdr:cNvSpPr/>
      </xdr:nvSpPr>
      <xdr:spPr>
        <a:xfrm>
          <a:off x="2676525" y="4857751"/>
          <a:ext cx="3571876" cy="2362200"/>
        </a:xfrm>
        <a:prstGeom prst="roundRect">
          <a:avLst>
            <a:gd name="adj" fmla="val 4880"/>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371475</xdr:colOff>
      <xdr:row>7</xdr:row>
      <xdr:rowOff>66675</xdr:rowOff>
    </xdr:from>
    <xdr:to>
      <xdr:col>19</xdr:col>
      <xdr:colOff>542924</xdr:colOff>
      <xdr:row>18</xdr:row>
      <xdr:rowOff>66675</xdr:rowOff>
    </xdr:to>
    <xdr:sp macro="" textlink="">
      <xdr:nvSpPr>
        <xdr:cNvPr id="15" name="Rectangle: Rounded Corners 14">
          <a:extLst>
            <a:ext uri="{FF2B5EF4-FFF2-40B4-BE49-F238E27FC236}">
              <a16:creationId xmlns:a16="http://schemas.microsoft.com/office/drawing/2014/main" id="{3EB91B5A-7FB2-404D-BD5D-BC054B876050}"/>
            </a:ext>
          </a:extLst>
        </xdr:cNvPr>
        <xdr:cNvSpPr/>
      </xdr:nvSpPr>
      <xdr:spPr>
        <a:xfrm>
          <a:off x="9972675" y="1333500"/>
          <a:ext cx="3600449" cy="1990725"/>
        </a:xfrm>
        <a:prstGeom prst="roundRect">
          <a:avLst>
            <a:gd name="adj" fmla="val 4880"/>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371475</xdr:colOff>
      <xdr:row>18</xdr:row>
      <xdr:rowOff>123825</xdr:rowOff>
    </xdr:from>
    <xdr:to>
      <xdr:col>19</xdr:col>
      <xdr:colOff>542924</xdr:colOff>
      <xdr:row>29</xdr:row>
      <xdr:rowOff>123825</xdr:rowOff>
    </xdr:to>
    <xdr:sp macro="" textlink="">
      <xdr:nvSpPr>
        <xdr:cNvPr id="22" name="Rectangle: Rounded Corners 21">
          <a:extLst>
            <a:ext uri="{FF2B5EF4-FFF2-40B4-BE49-F238E27FC236}">
              <a16:creationId xmlns:a16="http://schemas.microsoft.com/office/drawing/2014/main" id="{D1D0325F-F1B3-4780-8044-56787C4EB442}"/>
            </a:ext>
          </a:extLst>
        </xdr:cNvPr>
        <xdr:cNvSpPr/>
      </xdr:nvSpPr>
      <xdr:spPr>
        <a:xfrm>
          <a:off x="9972675" y="3381375"/>
          <a:ext cx="3600449" cy="1990725"/>
        </a:xfrm>
        <a:prstGeom prst="roundRect">
          <a:avLst>
            <a:gd name="adj" fmla="val 4880"/>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38101</xdr:colOff>
      <xdr:row>1</xdr:row>
      <xdr:rowOff>85725</xdr:rowOff>
    </xdr:from>
    <xdr:to>
      <xdr:col>17</xdr:col>
      <xdr:colOff>190501</xdr:colOff>
      <xdr:row>5</xdr:row>
      <xdr:rowOff>0</xdr:rowOff>
    </xdr:to>
    <xdr:sp macro="" textlink="">
      <xdr:nvSpPr>
        <xdr:cNvPr id="23" name="TextBox 22">
          <a:extLst>
            <a:ext uri="{FF2B5EF4-FFF2-40B4-BE49-F238E27FC236}">
              <a16:creationId xmlns:a16="http://schemas.microsoft.com/office/drawing/2014/main" id="{F691F9AB-699A-4D45-A8B9-93168E2BB953}"/>
            </a:ext>
          </a:extLst>
        </xdr:cNvPr>
        <xdr:cNvSpPr txBox="1"/>
      </xdr:nvSpPr>
      <xdr:spPr>
        <a:xfrm>
          <a:off x="3467101" y="266700"/>
          <a:ext cx="838200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t>SALES</a:t>
          </a:r>
          <a:r>
            <a:rPr lang="en-US" sz="4800" b="1" baseline="0"/>
            <a:t> AND PROFIT DASHBOARD</a:t>
          </a:r>
          <a:endParaRPr lang="en-US" sz="4800" b="1"/>
        </a:p>
      </xdr:txBody>
    </xdr:sp>
    <xdr:clientData/>
  </xdr:twoCellAnchor>
  <xdr:twoCellAnchor editAs="oneCell">
    <xdr:from>
      <xdr:col>3</xdr:col>
      <xdr:colOff>457200</xdr:colOff>
      <xdr:row>1</xdr:row>
      <xdr:rowOff>19049</xdr:rowOff>
    </xdr:from>
    <xdr:to>
      <xdr:col>4</xdr:col>
      <xdr:colOff>638175</xdr:colOff>
      <xdr:row>5</xdr:row>
      <xdr:rowOff>161924</xdr:rowOff>
    </xdr:to>
    <xdr:pic>
      <xdr:nvPicPr>
        <xdr:cNvPr id="25" name="Graphic 24" descr="Bar graph with upward trend">
          <a:extLst>
            <a:ext uri="{FF2B5EF4-FFF2-40B4-BE49-F238E27FC236}">
              <a16:creationId xmlns:a16="http://schemas.microsoft.com/office/drawing/2014/main" id="{64374260-B4EF-4506-997D-AEA5304E99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514600" y="200024"/>
          <a:ext cx="866775" cy="866775"/>
        </a:xfrm>
        <a:prstGeom prst="rect">
          <a:avLst/>
        </a:prstGeom>
      </xdr:spPr>
    </xdr:pic>
    <xdr:clientData/>
  </xdr:twoCellAnchor>
  <xdr:twoCellAnchor editAs="oneCell">
    <xdr:from>
      <xdr:col>3</xdr:col>
      <xdr:colOff>676276</xdr:colOff>
      <xdr:row>8</xdr:row>
      <xdr:rowOff>104774</xdr:rowOff>
    </xdr:from>
    <xdr:to>
      <xdr:col>5</xdr:col>
      <xdr:colOff>38100</xdr:colOff>
      <xdr:row>12</xdr:row>
      <xdr:rowOff>114298</xdr:rowOff>
    </xdr:to>
    <xdr:pic>
      <xdr:nvPicPr>
        <xdr:cNvPr id="27" name="Graphic 26" descr="Presentation with bar chart RTL">
          <a:extLst>
            <a:ext uri="{FF2B5EF4-FFF2-40B4-BE49-F238E27FC236}">
              <a16:creationId xmlns:a16="http://schemas.microsoft.com/office/drawing/2014/main" id="{AF4AEA8E-9551-41A6-97B6-BB2BAC668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33676" y="1552574"/>
          <a:ext cx="733424" cy="733424"/>
        </a:xfrm>
        <a:prstGeom prst="rect">
          <a:avLst/>
        </a:prstGeom>
      </xdr:spPr>
    </xdr:pic>
    <xdr:clientData/>
  </xdr:twoCellAnchor>
  <xdr:twoCellAnchor>
    <xdr:from>
      <xdr:col>4</xdr:col>
      <xdr:colOff>400050</xdr:colOff>
      <xdr:row>7</xdr:row>
      <xdr:rowOff>104775</xdr:rowOff>
    </xdr:from>
    <xdr:to>
      <xdr:col>6</xdr:col>
      <xdr:colOff>419099</xdr:colOff>
      <xdr:row>9</xdr:row>
      <xdr:rowOff>114300</xdr:rowOff>
    </xdr:to>
    <xdr:sp macro="" textlink="">
      <xdr:nvSpPr>
        <xdr:cNvPr id="28" name="TextBox 27">
          <a:extLst>
            <a:ext uri="{FF2B5EF4-FFF2-40B4-BE49-F238E27FC236}">
              <a16:creationId xmlns:a16="http://schemas.microsoft.com/office/drawing/2014/main" id="{B29D4AF6-7669-4879-BA50-85A2860853F8}"/>
            </a:ext>
          </a:extLst>
        </xdr:cNvPr>
        <xdr:cNvSpPr txBox="1"/>
      </xdr:nvSpPr>
      <xdr:spPr>
        <a:xfrm>
          <a:off x="3143250" y="1371600"/>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US" sz="1600" b="1"/>
        </a:p>
      </xdr:txBody>
    </xdr:sp>
    <xdr:clientData/>
  </xdr:twoCellAnchor>
  <xdr:twoCellAnchor>
    <xdr:from>
      <xdr:col>7</xdr:col>
      <xdr:colOff>38100</xdr:colOff>
      <xdr:row>7</xdr:row>
      <xdr:rowOff>133350</xdr:rowOff>
    </xdr:from>
    <xdr:to>
      <xdr:col>9</xdr:col>
      <xdr:colOff>66675</xdr:colOff>
      <xdr:row>9</xdr:row>
      <xdr:rowOff>76200</xdr:rowOff>
    </xdr:to>
    <xdr:sp macro="" textlink="">
      <xdr:nvSpPr>
        <xdr:cNvPr id="31" name="TextBox 30">
          <a:extLst>
            <a:ext uri="{FF2B5EF4-FFF2-40B4-BE49-F238E27FC236}">
              <a16:creationId xmlns:a16="http://schemas.microsoft.com/office/drawing/2014/main" id="{195B954B-4240-4775-AEF3-5D00A1402DB3}"/>
            </a:ext>
          </a:extLst>
        </xdr:cNvPr>
        <xdr:cNvSpPr txBox="1"/>
      </xdr:nvSpPr>
      <xdr:spPr>
        <a:xfrm>
          <a:off x="4838700" y="1400175"/>
          <a:ext cx="1400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100" baseline="0"/>
            <a:t> </a:t>
          </a:r>
          <a:r>
            <a:rPr lang="en-US" sz="1600" b="1" baseline="0"/>
            <a:t>PROFIT</a:t>
          </a:r>
          <a:endParaRPr lang="en-US" sz="1600" b="1"/>
        </a:p>
      </xdr:txBody>
    </xdr:sp>
    <xdr:clientData/>
  </xdr:twoCellAnchor>
  <xdr:twoCellAnchor editAs="oneCell">
    <xdr:from>
      <xdr:col>6</xdr:col>
      <xdr:colOff>381000</xdr:colOff>
      <xdr:row>8</xdr:row>
      <xdr:rowOff>85724</xdr:rowOff>
    </xdr:from>
    <xdr:to>
      <xdr:col>7</xdr:col>
      <xdr:colOff>447675</xdr:colOff>
      <xdr:row>12</xdr:row>
      <xdr:rowOff>114299</xdr:rowOff>
    </xdr:to>
    <xdr:pic>
      <xdr:nvPicPr>
        <xdr:cNvPr id="33" name="Graphic 32" descr="Coins">
          <a:extLst>
            <a:ext uri="{FF2B5EF4-FFF2-40B4-BE49-F238E27FC236}">
              <a16:creationId xmlns:a16="http://schemas.microsoft.com/office/drawing/2014/main" id="{FCF3E167-8755-4B8E-A365-9AD537222AA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95800" y="1533524"/>
          <a:ext cx="752475" cy="752475"/>
        </a:xfrm>
        <a:prstGeom prst="rect">
          <a:avLst/>
        </a:prstGeom>
      </xdr:spPr>
    </xdr:pic>
    <xdr:clientData/>
  </xdr:twoCellAnchor>
  <xdr:twoCellAnchor>
    <xdr:from>
      <xdr:col>4</xdr:col>
      <xdr:colOff>476250</xdr:colOff>
      <xdr:row>9</xdr:row>
      <xdr:rowOff>76200</xdr:rowOff>
    </xdr:from>
    <xdr:to>
      <xdr:col>6</xdr:col>
      <xdr:colOff>495299</xdr:colOff>
      <xdr:row>11</xdr:row>
      <xdr:rowOff>85725</xdr:rowOff>
    </xdr:to>
    <xdr:sp macro="" textlink="'Pivot Table'!A10">
      <xdr:nvSpPr>
        <xdr:cNvPr id="35" name="TextBox 34">
          <a:extLst>
            <a:ext uri="{FF2B5EF4-FFF2-40B4-BE49-F238E27FC236}">
              <a16:creationId xmlns:a16="http://schemas.microsoft.com/office/drawing/2014/main" id="{53AEBD4B-6A5F-4F05-BF48-B34DA5026A6B}"/>
            </a:ext>
          </a:extLst>
        </xdr:cNvPr>
        <xdr:cNvSpPr txBox="1"/>
      </xdr:nvSpPr>
      <xdr:spPr>
        <a:xfrm>
          <a:off x="3219450" y="1704975"/>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460CE3-EBC2-4B9D-BB32-002B3AF4FA85}" type="TxLink">
            <a:rPr lang="en-US" sz="1600" b="1" i="0" u="none" strike="noStrike">
              <a:solidFill>
                <a:srgbClr val="000000"/>
              </a:solidFill>
              <a:latin typeface="Aptos Narrow"/>
            </a:rPr>
            <a:pPr algn="ctr"/>
            <a:t> $6,017.6 </a:t>
          </a:fld>
          <a:endParaRPr lang="en-US" sz="1600" b="1"/>
        </a:p>
      </xdr:txBody>
    </xdr:sp>
    <xdr:clientData/>
  </xdr:twoCellAnchor>
  <xdr:twoCellAnchor>
    <xdr:from>
      <xdr:col>7</xdr:col>
      <xdr:colOff>180975</xdr:colOff>
      <xdr:row>9</xdr:row>
      <xdr:rowOff>95250</xdr:rowOff>
    </xdr:from>
    <xdr:to>
      <xdr:col>9</xdr:col>
      <xdr:colOff>209550</xdr:colOff>
      <xdr:row>11</xdr:row>
      <xdr:rowOff>38100</xdr:rowOff>
    </xdr:to>
    <xdr:sp macro="" textlink="'Pivot Table'!A12">
      <xdr:nvSpPr>
        <xdr:cNvPr id="37" name="TextBox 36">
          <a:extLst>
            <a:ext uri="{FF2B5EF4-FFF2-40B4-BE49-F238E27FC236}">
              <a16:creationId xmlns:a16="http://schemas.microsoft.com/office/drawing/2014/main" id="{E31D0CE7-2EBF-4784-ADEA-9471A6762854}"/>
            </a:ext>
          </a:extLst>
        </xdr:cNvPr>
        <xdr:cNvSpPr txBox="1"/>
      </xdr:nvSpPr>
      <xdr:spPr>
        <a:xfrm>
          <a:off x="4981575" y="1724025"/>
          <a:ext cx="1400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FBF648-BDA8-41F7-9890-AF1C741A8DE0}" type="TxLink">
            <a:rPr lang="en-US" sz="1600" b="1" i="0" u="none" strike="noStrike">
              <a:solidFill>
                <a:srgbClr val="000000"/>
              </a:solidFill>
              <a:latin typeface="Aptos Narrow"/>
            </a:rPr>
            <a:pPr algn="ctr"/>
            <a:t> $38,733.3 </a:t>
          </a:fld>
          <a:endParaRPr lang="en-US" sz="1600" b="1"/>
        </a:p>
      </xdr:txBody>
    </xdr:sp>
    <xdr:clientData/>
  </xdr:twoCellAnchor>
  <xdr:twoCellAnchor>
    <xdr:from>
      <xdr:col>3</xdr:col>
      <xdr:colOff>447675</xdr:colOff>
      <xdr:row>13</xdr:row>
      <xdr:rowOff>19050</xdr:rowOff>
    </xdr:from>
    <xdr:to>
      <xdr:col>9</xdr:col>
      <xdr:colOff>76200</xdr:colOff>
      <xdr:row>26</xdr:row>
      <xdr:rowOff>104775</xdr:rowOff>
    </xdr:to>
    <xdr:graphicFrame macro="">
      <xdr:nvGraphicFramePr>
        <xdr:cNvPr id="38" name="Chart 37">
          <a:extLst>
            <a:ext uri="{FF2B5EF4-FFF2-40B4-BE49-F238E27FC236}">
              <a16:creationId xmlns:a16="http://schemas.microsoft.com/office/drawing/2014/main" id="{EDC27BED-910B-4A6D-8F63-90509C304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209549</xdr:colOff>
      <xdr:row>7</xdr:row>
      <xdr:rowOff>171450</xdr:rowOff>
    </xdr:from>
    <xdr:to>
      <xdr:col>14</xdr:col>
      <xdr:colOff>190500</xdr:colOff>
      <xdr:row>29</xdr:row>
      <xdr:rowOff>57149</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4EDA8E3A-A93D-4337-8A3E-53B9F99D53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381749" y="1438275"/>
              <a:ext cx="3409951" cy="38671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390525</xdr:colOff>
      <xdr:row>7</xdr:row>
      <xdr:rowOff>66675</xdr:rowOff>
    </xdr:from>
    <xdr:to>
      <xdr:col>19</xdr:col>
      <xdr:colOff>514350</xdr:colOff>
      <xdr:row>18</xdr:row>
      <xdr:rowOff>38100</xdr:rowOff>
    </xdr:to>
    <xdr:graphicFrame macro="">
      <xdr:nvGraphicFramePr>
        <xdr:cNvPr id="34" name="Chart 33">
          <a:extLst>
            <a:ext uri="{FF2B5EF4-FFF2-40B4-BE49-F238E27FC236}">
              <a16:creationId xmlns:a16="http://schemas.microsoft.com/office/drawing/2014/main" id="{9AD4EC7F-F1ED-4635-9056-807641929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409575</xdr:colOff>
      <xdr:row>18</xdr:row>
      <xdr:rowOff>123825</xdr:rowOff>
    </xdr:from>
    <xdr:to>
      <xdr:col>19</xdr:col>
      <xdr:colOff>523875</xdr:colOff>
      <xdr:row>29</xdr:row>
      <xdr:rowOff>95250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39EB0B5D-3446-44CB-A33A-F8705736F0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010775" y="3381375"/>
              <a:ext cx="3543300" cy="1962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628649</xdr:colOff>
      <xdr:row>27</xdr:row>
      <xdr:rowOff>161925</xdr:rowOff>
    </xdr:from>
    <xdr:to>
      <xdr:col>9</xdr:col>
      <xdr:colOff>561974</xdr:colOff>
      <xdr:row>38</xdr:row>
      <xdr:rowOff>95250</xdr:rowOff>
    </xdr:to>
    <xdr:graphicFrame macro="">
      <xdr:nvGraphicFramePr>
        <xdr:cNvPr id="39" name="Chart 38">
          <a:extLst>
            <a:ext uri="{FF2B5EF4-FFF2-40B4-BE49-F238E27FC236}">
              <a16:creationId xmlns:a16="http://schemas.microsoft.com/office/drawing/2014/main" id="{29137E2B-FEA6-49FF-8632-4E0945838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238125</xdr:colOff>
      <xdr:row>30</xdr:row>
      <xdr:rowOff>57150</xdr:rowOff>
    </xdr:from>
    <xdr:to>
      <xdr:col>19</xdr:col>
      <xdr:colOff>514351</xdr:colOff>
      <xdr:row>40</xdr:row>
      <xdr:rowOff>47625</xdr:rowOff>
    </xdr:to>
    <xdr:sp macro="" textlink="">
      <xdr:nvSpPr>
        <xdr:cNvPr id="40" name="Rectangle: Rounded Corners 39">
          <a:extLst>
            <a:ext uri="{FF2B5EF4-FFF2-40B4-BE49-F238E27FC236}">
              <a16:creationId xmlns:a16="http://schemas.microsoft.com/office/drawing/2014/main" id="{1C8452A5-AA32-4123-894A-0D85AB747BBC}"/>
            </a:ext>
          </a:extLst>
        </xdr:cNvPr>
        <xdr:cNvSpPr/>
      </xdr:nvSpPr>
      <xdr:spPr>
        <a:xfrm>
          <a:off x="6410325" y="5486400"/>
          <a:ext cx="7134226" cy="1800225"/>
        </a:xfrm>
        <a:prstGeom prst="roundRect">
          <a:avLst>
            <a:gd name="adj" fmla="val 4880"/>
          </a:avLst>
        </a:prstGeom>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219075</xdr:colOff>
      <xdr:row>30</xdr:row>
      <xdr:rowOff>76199</xdr:rowOff>
    </xdr:from>
    <xdr:to>
      <xdr:col>19</xdr:col>
      <xdr:colOff>609600</xdr:colOff>
      <xdr:row>40</xdr:row>
      <xdr:rowOff>104774</xdr:rowOff>
    </xdr:to>
    <xdr:graphicFrame macro="">
      <xdr:nvGraphicFramePr>
        <xdr:cNvPr id="45" name="Chart 44">
          <a:extLst>
            <a:ext uri="{FF2B5EF4-FFF2-40B4-BE49-F238E27FC236}">
              <a16:creationId xmlns:a16="http://schemas.microsoft.com/office/drawing/2014/main" id="{F6E944E0-CF17-44DD-B6FC-3FB08B031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95250</xdr:colOff>
      <xdr:row>8</xdr:row>
      <xdr:rowOff>19051</xdr:rowOff>
    </xdr:from>
    <xdr:to>
      <xdr:col>3</xdr:col>
      <xdr:colOff>400050</xdr:colOff>
      <xdr:row>14</xdr:row>
      <xdr:rowOff>57150</xdr:rowOff>
    </xdr:to>
    <mc:AlternateContent xmlns:mc="http://schemas.openxmlformats.org/markup-compatibility/2006">
      <mc:Choice xmlns:a14="http://schemas.microsoft.com/office/drawing/2010/main" Requires="a14">
        <xdr:graphicFrame macro="">
          <xdr:nvGraphicFramePr>
            <xdr:cNvPr id="32" name="Category 1">
              <a:extLst>
                <a:ext uri="{FF2B5EF4-FFF2-40B4-BE49-F238E27FC236}">
                  <a16:creationId xmlns:a16="http://schemas.microsoft.com/office/drawing/2014/main" id="{EE4CD88E-083C-42D6-A973-6F185CDB71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5250" y="1466851"/>
              <a:ext cx="2362200" cy="112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104773</xdr:colOff>
      <xdr:row>14</xdr:row>
      <xdr:rowOff>85726</xdr:rowOff>
    </xdr:from>
    <xdr:to>
      <xdr:col>3</xdr:col>
      <xdr:colOff>390524</xdr:colOff>
      <xdr:row>28</xdr:row>
      <xdr:rowOff>76201</xdr:rowOff>
    </xdr:to>
    <mc:AlternateContent xmlns:mc="http://schemas.openxmlformats.org/markup-compatibility/2006">
      <mc:Choice xmlns:a14="http://schemas.microsoft.com/office/drawing/2010/main" Requires="a14">
        <xdr:graphicFrame macro="">
          <xdr:nvGraphicFramePr>
            <xdr:cNvPr id="43" name="Month 1">
              <a:extLst>
                <a:ext uri="{FF2B5EF4-FFF2-40B4-BE49-F238E27FC236}">
                  <a16:creationId xmlns:a16="http://schemas.microsoft.com/office/drawing/2014/main" id="{16F5FF61-BB91-4B72-931A-65DE8D8EBBD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4773" y="2619376"/>
              <a:ext cx="234315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104773</xdr:colOff>
      <xdr:row>28</xdr:row>
      <xdr:rowOff>104776</xdr:rowOff>
    </xdr:from>
    <xdr:to>
      <xdr:col>3</xdr:col>
      <xdr:colOff>390524</xdr:colOff>
      <xdr:row>39</xdr:row>
      <xdr:rowOff>95250</xdr:rowOff>
    </xdr:to>
    <mc:AlternateContent xmlns:mc="http://schemas.openxmlformats.org/markup-compatibility/2006">
      <mc:Choice xmlns:a14="http://schemas.microsoft.com/office/drawing/2010/main" Requires="a14">
        <xdr:graphicFrame macro="">
          <xdr:nvGraphicFramePr>
            <xdr:cNvPr id="44" name="Year 1">
              <a:extLst>
                <a:ext uri="{FF2B5EF4-FFF2-40B4-BE49-F238E27FC236}">
                  <a16:creationId xmlns:a16="http://schemas.microsoft.com/office/drawing/2014/main" id="{E25A8A82-EEBC-4208-ABBD-5CFD30437B5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4773" y="5172076"/>
              <a:ext cx="2343151"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323850</xdr:colOff>
      <xdr:row>1</xdr:row>
      <xdr:rowOff>76200</xdr:rowOff>
    </xdr:from>
    <xdr:to>
      <xdr:col>19</xdr:col>
      <xdr:colOff>476250</xdr:colOff>
      <xdr:row>6</xdr:row>
      <xdr:rowOff>9525</xdr:rowOff>
    </xdr:to>
    <xdr:pic>
      <xdr:nvPicPr>
        <xdr:cNvPr id="19" name="Graphic 18" descr="Presentation with pie chart">
          <a:extLst>
            <a:ext uri="{FF2B5EF4-FFF2-40B4-BE49-F238E27FC236}">
              <a16:creationId xmlns:a16="http://schemas.microsoft.com/office/drawing/2014/main" id="{44FEBB1C-3580-4951-943C-2DA841FFE27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668250" y="257175"/>
          <a:ext cx="838200" cy="838200"/>
        </a:xfrm>
        <a:prstGeom prst="rect">
          <a:avLst/>
        </a:prstGeom>
      </xdr:spPr>
    </xdr:pic>
    <xdr:clientData/>
  </xdr:twoCellAnchor>
  <xdr:twoCellAnchor editAs="oneCell">
    <xdr:from>
      <xdr:col>17</xdr:col>
      <xdr:colOff>304800</xdr:colOff>
      <xdr:row>1</xdr:row>
      <xdr:rowOff>114299</xdr:rowOff>
    </xdr:from>
    <xdr:to>
      <xdr:col>18</xdr:col>
      <xdr:colOff>371475</xdr:colOff>
      <xdr:row>5</xdr:row>
      <xdr:rowOff>142874</xdr:rowOff>
    </xdr:to>
    <xdr:pic>
      <xdr:nvPicPr>
        <xdr:cNvPr id="21" name="Graphic 20" descr="Research">
          <a:extLst>
            <a:ext uri="{FF2B5EF4-FFF2-40B4-BE49-F238E27FC236}">
              <a16:creationId xmlns:a16="http://schemas.microsoft.com/office/drawing/2014/main" id="{355D4EEC-8144-40C2-8494-69FB695E3CE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1963400" y="295274"/>
          <a:ext cx="752475" cy="7524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C" refreshedDate="46099.732832060188" createdVersion="6" refreshedVersion="6" minRefreshableVersion="3" recordCount="25" xr:uid="{B196990D-B1C7-4023-AC3B-FD4A5D3E6F5E}">
  <cacheSource type="worksheet">
    <worksheetSource name="Table1"/>
  </cacheSource>
  <cacheFields count="10">
    <cacheField name="Order Date" numFmtId="16">
      <sharedItems containsSemiMixedTypes="0" containsNonDate="0" containsDate="1" containsString="0" minDate="2026-07-08T00:00:00" maxDate="2026-08-02T00:00:00"/>
    </cacheField>
    <cacheField name="Coustomr Name" numFmtId="0">
      <sharedItems containsBlank="1" count="18">
        <s v="Mak Son"/>
        <s v="Asim Khan"/>
        <s v="Ayub Kan"/>
        <s v="Azlan Khan"/>
        <s v="Maick Brown"/>
        <s v="Javid"/>
        <s v="Jawad Khan"/>
        <s v="Vevick"/>
        <s v="Jack"/>
        <s v="KHAn Jii"/>
        <s v="Maira"/>
        <s v="Muhammad"/>
        <s v="Phillina"/>
        <s v="Sohil "/>
        <s v="Charis"/>
        <s v="Darenna"/>
        <m/>
        <s v="Zain"/>
      </sharedItems>
    </cacheField>
    <cacheField name="State" numFmtId="0">
      <sharedItems count="3">
        <s v="Texas"/>
        <s v="Virginia"/>
        <s v="Kentucky"/>
      </sharedItems>
    </cacheField>
    <cacheField name="Category" numFmtId="0">
      <sharedItems count="3">
        <s v="Office Supplies"/>
        <s v="Technology"/>
        <s v="Furniture"/>
      </sharedItems>
    </cacheField>
    <cacheField name="Sub-Category" numFmtId="0">
      <sharedItems count="7">
        <s v="Storage"/>
        <s v="Arts"/>
        <s v="Labels"/>
        <s v="Binders"/>
        <s v="Paper"/>
        <s v="Phones"/>
        <s v="Airports"/>
      </sharedItems>
    </cacheField>
    <cacheField name="Quantity" numFmtId="0">
      <sharedItems containsSemiMixedTypes="0" containsString="0" containsNumber="1" containsInteger="1" minValue="3" maxValue="9"/>
    </cacheField>
    <cacheField name="Sales" numFmtId="0">
      <sharedItems containsSemiMixedTypes="0" containsString="0" containsNumber="1" minValue="14.87" maxValue="9017"/>
    </cacheField>
    <cacheField name="Profit" numFmtId="0">
      <sharedItems containsSemiMixedTypes="0" containsString="0" containsNumber="1" minValue="23.6" maxValue="998"/>
    </cacheField>
    <cacheField name="Month" numFmtId="0">
      <sharedItems count="1">
        <s v="Jan"/>
      </sharedItems>
    </cacheField>
    <cacheField name="Year" numFmtId="0">
      <sharedItems containsSemiMixedTypes="0" containsString="0" containsNumber="1" containsInteger="1" minValue="2021" maxValue="2052" count="6">
        <n v="2021"/>
        <n v="2022"/>
        <n v="2052"/>
        <n v="2024"/>
        <n v="2023"/>
        <n v="2025"/>
      </sharedItems>
    </cacheField>
  </cacheFields>
  <extLst>
    <ext xmlns:x14="http://schemas.microsoft.com/office/spreadsheetml/2009/9/main" uri="{725AE2AE-9491-48be-B2B4-4EB974FC3084}">
      <x14:pivotCacheDefinition pivotCacheId="19644680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C" refreshedDate="46105.663050810188" createdVersion="6" refreshedVersion="6" minRefreshableVersion="3" recordCount="23" xr:uid="{F039BC11-FD10-4F3A-9FA1-2801771B4E02}">
  <cacheSource type="worksheet">
    <worksheetSource ref="P1:Q24" sheet="Pivot Table"/>
  </cacheSource>
  <cacheFields count="2">
    <cacheField name="Coustomr Name" numFmtId="0">
      <sharedItems/>
    </cacheField>
    <cacheField name="Year" numFmtId="0">
      <sharedItems containsSemiMixedTypes="0" containsString="0" containsNumber="1" containsInteger="1" minValue="2021" maxValue="2052" count="6">
        <n v="2021"/>
        <n v="2022"/>
        <n v="2052"/>
        <n v="2024"/>
        <n v="2023"/>
        <n v="202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C" refreshedDate="46106.665227314814" createdVersion="6" refreshedVersion="6" minRefreshableVersion="3" recordCount="25" xr:uid="{5BDE728C-08CA-4EAC-AA9F-9CF2FAE7D758}">
  <cacheSource type="worksheet">
    <worksheetSource ref="AA18:AB43" sheet="Pivot Table"/>
  </cacheSource>
  <cacheFields count="2">
    <cacheField name="Month" numFmtId="0">
      <sharedItems count="8">
        <s v="Jan"/>
        <s v="Feb"/>
        <s v="Mar"/>
        <s v="Apr"/>
        <s v="April"/>
        <s v="May"/>
        <s v="June"/>
        <s v="July"/>
      </sharedItems>
    </cacheField>
    <cacheField name="Sales" numFmtId="0">
      <sharedItems containsSemiMixedTypes="0" containsString="0" containsNumber="1" minValue="14.87" maxValue="9017" count="25">
        <n v="890.55"/>
        <n v="993.98"/>
        <n v="2900.33"/>
        <n v="1200.6600000000001"/>
        <n v="1006.87"/>
        <n v="1002.76"/>
        <n v="14.87"/>
        <n v="1200.8699999999999"/>
        <n v="1398.76"/>
        <n v="1578.98"/>
        <n v="1490.88"/>
        <n v="1906.9"/>
        <n v="1097.8900000000001"/>
        <n v="1709.87"/>
        <n v="1098.98"/>
        <n v="209.78"/>
        <n v="9017"/>
        <n v="988.98"/>
        <n v="900.98"/>
        <n v="1097.98"/>
        <n v="1989.98"/>
        <n v="1909.9"/>
        <n v="1547.98"/>
        <n v="1544.87"/>
        <n v="32.700000000000003"/>
      </sharedItems>
    </cacheField>
  </cacheFields>
  <extLst>
    <ext xmlns:x14="http://schemas.microsoft.com/office/spreadsheetml/2009/9/main" uri="{725AE2AE-9491-48be-B2B4-4EB974FC3084}">
      <x14:pivotCacheDefinition pivotCacheId="1658635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d v="2026-07-08T00:00:00"/>
    <x v="0"/>
    <x v="0"/>
    <x v="0"/>
    <x v="0"/>
    <n v="4"/>
    <n v="890.55"/>
    <n v="87.98"/>
    <x v="0"/>
    <x v="0"/>
  </r>
  <r>
    <d v="2026-07-09T00:00:00"/>
    <x v="0"/>
    <x v="0"/>
    <x v="0"/>
    <x v="1"/>
    <n v="4"/>
    <n v="993.98"/>
    <n v="67.98"/>
    <x v="0"/>
    <x v="1"/>
  </r>
  <r>
    <d v="2026-07-10T00:00:00"/>
    <x v="0"/>
    <x v="0"/>
    <x v="0"/>
    <x v="2"/>
    <n v="4"/>
    <n v="2900.33"/>
    <n v="68.900000000000006"/>
    <x v="0"/>
    <x v="0"/>
  </r>
  <r>
    <d v="2026-07-11T00:00:00"/>
    <x v="1"/>
    <x v="0"/>
    <x v="0"/>
    <x v="3"/>
    <n v="5"/>
    <n v="1200.6600000000001"/>
    <n v="54.87"/>
    <x v="0"/>
    <x v="0"/>
  </r>
  <r>
    <d v="2026-07-12T00:00:00"/>
    <x v="2"/>
    <x v="0"/>
    <x v="0"/>
    <x v="1"/>
    <n v="7"/>
    <n v="1006.87"/>
    <n v="229.98"/>
    <x v="0"/>
    <x v="2"/>
  </r>
  <r>
    <d v="2026-07-13T00:00:00"/>
    <x v="3"/>
    <x v="0"/>
    <x v="0"/>
    <x v="4"/>
    <n v="8"/>
    <n v="1002.76"/>
    <n v="980"/>
    <x v="0"/>
    <x v="3"/>
  </r>
  <r>
    <d v="2026-07-14T00:00:00"/>
    <x v="4"/>
    <x v="1"/>
    <x v="1"/>
    <x v="1"/>
    <n v="7"/>
    <n v="14.87"/>
    <n v="342.99"/>
    <x v="0"/>
    <x v="0"/>
  </r>
  <r>
    <d v="2026-07-15T00:00:00"/>
    <x v="4"/>
    <x v="1"/>
    <x v="1"/>
    <x v="0"/>
    <n v="4"/>
    <n v="1200.8699999999999"/>
    <n v="231.87"/>
    <x v="0"/>
    <x v="3"/>
  </r>
  <r>
    <d v="2026-07-16T00:00:00"/>
    <x v="4"/>
    <x v="1"/>
    <x v="1"/>
    <x v="5"/>
    <n v="3"/>
    <n v="1398.76"/>
    <n v="123.87"/>
    <x v="0"/>
    <x v="4"/>
  </r>
  <r>
    <d v="2026-07-17T00:00:00"/>
    <x v="4"/>
    <x v="1"/>
    <x v="1"/>
    <x v="6"/>
    <n v="3"/>
    <n v="1578.98"/>
    <n v="998"/>
    <x v="0"/>
    <x v="4"/>
  </r>
  <r>
    <d v="2026-07-18T00:00:00"/>
    <x v="5"/>
    <x v="1"/>
    <x v="1"/>
    <x v="3"/>
    <n v="8"/>
    <n v="1490.88"/>
    <n v="230"/>
    <x v="0"/>
    <x v="5"/>
  </r>
  <r>
    <d v="2026-07-19T00:00:00"/>
    <x v="6"/>
    <x v="1"/>
    <x v="1"/>
    <x v="0"/>
    <n v="9"/>
    <n v="1906.9"/>
    <n v="213"/>
    <x v="0"/>
    <x v="3"/>
  </r>
  <r>
    <d v="2026-07-20T00:00:00"/>
    <x v="7"/>
    <x v="1"/>
    <x v="1"/>
    <x v="5"/>
    <n v="5"/>
    <n v="1097.8900000000001"/>
    <n v="879"/>
    <x v="0"/>
    <x v="4"/>
  </r>
  <r>
    <d v="2026-07-21T00:00:00"/>
    <x v="8"/>
    <x v="2"/>
    <x v="2"/>
    <x v="6"/>
    <n v="4"/>
    <n v="1709.87"/>
    <n v="23.6"/>
    <x v="0"/>
    <x v="3"/>
  </r>
  <r>
    <d v="2026-07-22T00:00:00"/>
    <x v="9"/>
    <x v="2"/>
    <x v="2"/>
    <x v="4"/>
    <n v="5"/>
    <n v="1098.98"/>
    <n v="65.98"/>
    <x v="0"/>
    <x v="4"/>
  </r>
  <r>
    <d v="2026-07-23T00:00:00"/>
    <x v="10"/>
    <x v="2"/>
    <x v="2"/>
    <x v="0"/>
    <n v="9"/>
    <n v="209.78"/>
    <n v="87.87"/>
    <x v="0"/>
    <x v="5"/>
  </r>
  <r>
    <d v="2026-07-24T00:00:00"/>
    <x v="11"/>
    <x v="2"/>
    <x v="0"/>
    <x v="5"/>
    <n v="7"/>
    <n v="9017"/>
    <n v="54.98"/>
    <x v="0"/>
    <x v="4"/>
  </r>
  <r>
    <d v="2026-07-25T00:00:00"/>
    <x v="12"/>
    <x v="2"/>
    <x v="0"/>
    <x v="3"/>
    <n v="8"/>
    <n v="988.98"/>
    <n v="43.87"/>
    <x v="0"/>
    <x v="4"/>
  </r>
  <r>
    <d v="2026-07-26T00:00:00"/>
    <x v="12"/>
    <x v="2"/>
    <x v="1"/>
    <x v="5"/>
    <n v="9"/>
    <n v="900.98"/>
    <n v="54.89"/>
    <x v="0"/>
    <x v="3"/>
  </r>
  <r>
    <d v="2026-07-27T00:00:00"/>
    <x v="13"/>
    <x v="0"/>
    <x v="0"/>
    <x v="4"/>
    <n v="6"/>
    <n v="1097.98"/>
    <n v="43.98"/>
    <x v="0"/>
    <x v="0"/>
  </r>
  <r>
    <d v="2026-07-28T00:00:00"/>
    <x v="14"/>
    <x v="0"/>
    <x v="0"/>
    <x v="0"/>
    <n v="8"/>
    <n v="1989.98"/>
    <n v="87.98"/>
    <x v="0"/>
    <x v="4"/>
  </r>
  <r>
    <d v="2026-07-29T00:00:00"/>
    <x v="14"/>
    <x v="0"/>
    <x v="1"/>
    <x v="6"/>
    <n v="6"/>
    <n v="1909.9"/>
    <n v="23.98"/>
    <x v="0"/>
    <x v="0"/>
  </r>
  <r>
    <d v="2026-07-30T00:00:00"/>
    <x v="15"/>
    <x v="0"/>
    <x v="0"/>
    <x v="5"/>
    <n v="9"/>
    <n v="1547.98"/>
    <n v="98.07"/>
    <x v="0"/>
    <x v="4"/>
  </r>
  <r>
    <d v="2026-07-31T00:00:00"/>
    <x v="16"/>
    <x v="0"/>
    <x v="0"/>
    <x v="2"/>
    <n v="9"/>
    <n v="1544.87"/>
    <n v="36.979999999999997"/>
    <x v="0"/>
    <x v="0"/>
  </r>
  <r>
    <d v="2026-08-01T00:00:00"/>
    <x v="17"/>
    <x v="0"/>
    <x v="1"/>
    <x v="1"/>
    <n v="8"/>
    <n v="32.700000000000003"/>
    <n v="887"/>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Mak Son"/>
    <x v="0"/>
  </r>
  <r>
    <s v="Mak Son"/>
    <x v="1"/>
  </r>
  <r>
    <s v="Asim Khan"/>
    <x v="0"/>
  </r>
  <r>
    <s v="Ayub Kan"/>
    <x v="2"/>
  </r>
  <r>
    <s v="Azlan Khan"/>
    <x v="3"/>
  </r>
  <r>
    <s v="Maick Brown"/>
    <x v="0"/>
  </r>
  <r>
    <s v="Maick Brown"/>
    <x v="3"/>
  </r>
  <r>
    <s v="Maick Brown"/>
    <x v="4"/>
  </r>
  <r>
    <s v="Javid"/>
    <x v="5"/>
  </r>
  <r>
    <s v="Jawad Khan"/>
    <x v="3"/>
  </r>
  <r>
    <s v="Vevick"/>
    <x v="4"/>
  </r>
  <r>
    <s v="Jack"/>
    <x v="3"/>
  </r>
  <r>
    <s v="KHAn Jii"/>
    <x v="4"/>
  </r>
  <r>
    <s v="Maira"/>
    <x v="5"/>
  </r>
  <r>
    <s v="Muhammad"/>
    <x v="4"/>
  </r>
  <r>
    <s v="Phillina"/>
    <x v="4"/>
  </r>
  <r>
    <s v="Phillina"/>
    <x v="3"/>
  </r>
  <r>
    <s v="Sohil "/>
    <x v="0"/>
  </r>
  <r>
    <s v="Charis"/>
    <x v="4"/>
  </r>
  <r>
    <s v="Charis"/>
    <x v="0"/>
  </r>
  <r>
    <s v="Darenna"/>
    <x v="4"/>
  </r>
  <r>
    <s v="Phillina"/>
    <x v="0"/>
  </r>
  <r>
    <s v="Zain"/>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r>
  <r>
    <x v="0"/>
    <x v="1"/>
  </r>
  <r>
    <x v="0"/>
    <x v="2"/>
  </r>
  <r>
    <x v="1"/>
    <x v="3"/>
  </r>
  <r>
    <x v="0"/>
    <x v="4"/>
  </r>
  <r>
    <x v="0"/>
    <x v="5"/>
  </r>
  <r>
    <x v="2"/>
    <x v="6"/>
  </r>
  <r>
    <x v="1"/>
    <x v="7"/>
  </r>
  <r>
    <x v="0"/>
    <x v="8"/>
  </r>
  <r>
    <x v="0"/>
    <x v="9"/>
  </r>
  <r>
    <x v="0"/>
    <x v="10"/>
  </r>
  <r>
    <x v="2"/>
    <x v="11"/>
  </r>
  <r>
    <x v="1"/>
    <x v="12"/>
  </r>
  <r>
    <x v="3"/>
    <x v="13"/>
  </r>
  <r>
    <x v="2"/>
    <x v="14"/>
  </r>
  <r>
    <x v="1"/>
    <x v="15"/>
  </r>
  <r>
    <x v="4"/>
    <x v="16"/>
  </r>
  <r>
    <x v="5"/>
    <x v="17"/>
  </r>
  <r>
    <x v="5"/>
    <x v="18"/>
  </r>
  <r>
    <x v="3"/>
    <x v="19"/>
  </r>
  <r>
    <x v="6"/>
    <x v="20"/>
  </r>
  <r>
    <x v="5"/>
    <x v="21"/>
  </r>
  <r>
    <x v="7"/>
    <x v="22"/>
  </r>
  <r>
    <x v="6"/>
    <x v="23"/>
  </r>
  <r>
    <x v="6"/>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72ADD0-2EAF-4519-A253-72F1597614C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0">
    <pivotField numFmtId="16" showAll="0"/>
    <pivotField showAll="0"/>
    <pivotField showAll="0"/>
    <pivotField showAll="0">
      <items count="4">
        <item x="2"/>
        <item x="0"/>
        <item x="1"/>
        <item t="default"/>
      </items>
    </pivotField>
    <pivotField showAll="0"/>
    <pivotField showAll="0"/>
    <pivotField dataField="1" showAll="0"/>
    <pivotField showAll="0"/>
    <pivotField showAll="0"/>
    <pivotField showAll="0">
      <items count="7">
        <item x="0"/>
        <item x="1"/>
        <item x="4"/>
        <item x="3"/>
        <item x="5"/>
        <item x="2"/>
        <item t="default"/>
      </items>
    </pivotField>
  </pivotFields>
  <rowItems count="1">
    <i/>
  </rowItems>
  <colItems count="1">
    <i/>
  </colItems>
  <dataFields count="1">
    <dataField name="Sum of Sales" fld="6" baseField="0" baseItem="0" numFmtId="165"/>
  </dataFields>
  <formats count="2">
    <format dxfId="461">
      <pivotArea dataOnly="0" labelOnly="1" outline="0" axis="axisValues" fieldPosition="0"/>
    </format>
    <format dxfId="4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E81971-4A01-4ACC-A682-7557820B32C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B5:AC11" firstHeaderRow="1" firstDataRow="1" firstDataCol="1"/>
  <pivotFields count="10">
    <pivotField numFmtId="16" showAll="0"/>
    <pivotField axis="axisRow" showAll="0" measureFilter="1" sortType="ascending">
      <items count="19">
        <item x="1"/>
        <item x="2"/>
        <item x="3"/>
        <item x="14"/>
        <item x="15"/>
        <item x="8"/>
        <item x="5"/>
        <item x="6"/>
        <item x="9"/>
        <item x="4"/>
        <item x="10"/>
        <item x="0"/>
        <item x="11"/>
        <item x="12"/>
        <item x="13"/>
        <item x="7"/>
        <item x="17"/>
        <item x="16"/>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4">
        <item x="2"/>
        <item x="0"/>
        <item x="1"/>
        <item t="default"/>
      </items>
    </pivotField>
    <pivotField showAll="0">
      <items count="8">
        <item x="6"/>
        <item x="1"/>
        <item x="3"/>
        <item x="2"/>
        <item x="4"/>
        <item x="5"/>
        <item x="0"/>
        <item t="default"/>
      </items>
    </pivotField>
    <pivotField showAll="0"/>
    <pivotField showAll="0"/>
    <pivotField dataField="1" showAll="0"/>
    <pivotField showAll="0"/>
    <pivotField showAll="0">
      <items count="7">
        <item x="0"/>
        <item x="1"/>
        <item x="4"/>
        <item x="3"/>
        <item x="5"/>
        <item x="2"/>
        <item t="default"/>
      </items>
    </pivotField>
  </pivotFields>
  <rowFields count="1">
    <field x="1"/>
  </rowFields>
  <rowItems count="6">
    <i>
      <x v="6"/>
    </i>
    <i>
      <x v="15"/>
    </i>
    <i>
      <x v="16"/>
    </i>
    <i>
      <x v="2"/>
    </i>
    <i>
      <x v="9"/>
    </i>
    <i t="grand">
      <x/>
    </i>
  </rowItems>
  <colItems count="1">
    <i/>
  </colItems>
  <dataFields count="1">
    <dataField name="Sum of Profit" fld="7" baseField="0" baseItem="0" numFmtId="165"/>
  </dataFields>
  <formats count="2">
    <format dxfId="463">
      <pivotArea dataOnly="0" labelOnly="1" outline="0" axis="axisValues" fieldPosition="0"/>
    </format>
    <format dxfId="462">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38157-59C9-4781-96FD-C7BE4EC41DD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4:K12" firstHeaderRow="1" firstDataRow="1" firstDataCol="1"/>
  <pivotFields count="10">
    <pivotField numFmtId="16" showAll="0"/>
    <pivotField showAll="0"/>
    <pivotField showAll="0"/>
    <pivotField showAll="0">
      <items count="4">
        <item x="2"/>
        <item x="0"/>
        <item x="1"/>
        <item t="default"/>
      </items>
    </pivotField>
    <pivotField axis="axisRow" showAll="0" sortType="descending">
      <items count="8">
        <item x="6"/>
        <item x="1"/>
        <item x="3"/>
        <item x="2"/>
        <item x="4"/>
        <item x="5"/>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2">
        <item x="0"/>
        <item t="default"/>
      </items>
    </pivotField>
    <pivotField showAll="0">
      <items count="7">
        <item x="0"/>
        <item x="1"/>
        <item x="4"/>
        <item x="3"/>
        <item x="5"/>
        <item x="2"/>
        <item t="default"/>
      </items>
    </pivotField>
  </pivotFields>
  <rowFields count="1">
    <field x="4"/>
  </rowFields>
  <rowItems count="8">
    <i>
      <x v="5"/>
    </i>
    <i>
      <x v="6"/>
    </i>
    <i>
      <x/>
    </i>
    <i>
      <x v="3"/>
    </i>
    <i>
      <x v="2"/>
    </i>
    <i>
      <x v="4"/>
    </i>
    <i>
      <x v="1"/>
    </i>
    <i t="grand">
      <x/>
    </i>
  </rowItems>
  <colItems count="1">
    <i/>
  </colItems>
  <dataFields count="1">
    <dataField name="Sum of Sales" fld="6" baseField="0" baseItem="0" numFmtId="165"/>
  </dataFields>
  <formats count="2">
    <format dxfId="465">
      <pivotArea dataOnly="0" labelOnly="1" outline="0" axis="axisValues" fieldPosition="0"/>
    </format>
    <format dxfId="4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7CC783-D81D-4AB0-BA6C-ECB8F472B79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4:G12" firstHeaderRow="1" firstDataRow="2" firstDataCol="1"/>
  <pivotFields count="10">
    <pivotField numFmtId="16" showAll="0"/>
    <pivotField showAll="0"/>
    <pivotField showAll="0"/>
    <pivotField axis="axisCol" showAll="0">
      <items count="4">
        <item x="2"/>
        <item x="0"/>
        <item x="1"/>
        <item t="default"/>
      </items>
    </pivotField>
    <pivotField showAll="0"/>
    <pivotField showAll="0"/>
    <pivotField showAll="0"/>
    <pivotField dataField="1" showAll="0"/>
    <pivotField showAll="0"/>
    <pivotField axis="axisRow" showAll="0">
      <items count="7">
        <item x="0"/>
        <item x="1"/>
        <item x="4"/>
        <item x="3"/>
        <item x="5"/>
        <item x="2"/>
        <item t="default"/>
      </items>
    </pivotField>
  </pivotFields>
  <rowFields count="1">
    <field x="9"/>
  </rowFields>
  <rowItems count="7">
    <i>
      <x/>
    </i>
    <i>
      <x v="1"/>
    </i>
    <i>
      <x v="2"/>
    </i>
    <i>
      <x v="3"/>
    </i>
    <i>
      <x v="4"/>
    </i>
    <i>
      <x v="5"/>
    </i>
    <i t="grand">
      <x/>
    </i>
  </rowItems>
  <colFields count="1">
    <field x="3"/>
  </colFields>
  <colItems count="4">
    <i>
      <x/>
    </i>
    <i>
      <x v="1"/>
    </i>
    <i>
      <x v="2"/>
    </i>
    <i t="grand">
      <x/>
    </i>
  </colItems>
  <dataFields count="1">
    <dataField name="Sum of Profit" fld="7" baseField="0" baseItem="0" numFmtId="165"/>
  </dataFields>
  <formats count="2">
    <format dxfId="467">
      <pivotArea dataOnly="0" labelOnly="1" outline="0" axis="axisValues" fieldPosition="0"/>
    </format>
    <format dxfId="466">
      <pivotArea outline="0" collapsedLevelsAreSubtotals="1" fieldPosition="0"/>
    </format>
  </formats>
  <chartFormats count="1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9" count="1" selected="0">
            <x v="3"/>
          </reference>
        </references>
      </pivotArea>
    </chartFormat>
    <chartFormat chart="2" format="10">
      <pivotArea type="data" outline="0" fieldPosition="0">
        <references count="3">
          <reference field="4294967294" count="1" selected="0">
            <x v="0"/>
          </reference>
          <reference field="3"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552FD2-7817-490E-BF0C-69A778B3D8BC}"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0">
    <pivotField numFmtId="16" showAll="0"/>
    <pivotField showAll="0"/>
    <pivotField showAll="0"/>
    <pivotField showAll="0">
      <items count="4">
        <item x="2"/>
        <item x="0"/>
        <item x="1"/>
        <item t="default"/>
      </items>
    </pivotField>
    <pivotField showAll="0"/>
    <pivotField showAll="0"/>
    <pivotField showAll="0"/>
    <pivotField dataField="1" showAll="0"/>
    <pivotField showAll="0"/>
    <pivotField showAll="0">
      <items count="7">
        <item x="0"/>
        <item x="1"/>
        <item x="4"/>
        <item x="3"/>
        <item x="5"/>
        <item x="2"/>
        <item t="default"/>
      </items>
    </pivotField>
  </pivotFields>
  <rowItems count="1">
    <i/>
  </rowItems>
  <colItems count="1">
    <i/>
  </colItems>
  <dataFields count="1">
    <dataField name="Sum of Profit" fld="7" baseField="0" baseItem="0" numFmtId="165"/>
  </dataFields>
  <formats count="2">
    <format dxfId="469">
      <pivotArea dataOnly="0" labelOnly="1" outline="0" axis="axisValues" fieldPosition="0"/>
    </format>
    <format dxfId="4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0C2C3-D466-4267-98C2-C8CC6476F716}"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E19:AF28" firstHeaderRow="1" firstDataRow="1" firstDataCol="1"/>
  <pivotFields count="2">
    <pivotField axis="axisRow" showAll="0">
      <items count="9">
        <item x="0"/>
        <item x="4"/>
        <item x="6"/>
        <item x="1"/>
        <item x="7"/>
        <item x="2"/>
        <item x="3"/>
        <item x="5"/>
        <item t="default"/>
      </items>
    </pivotField>
    <pivotField dataField="1" showAll="0">
      <items count="26">
        <item x="6"/>
        <item x="24"/>
        <item x="15"/>
        <item x="0"/>
        <item x="18"/>
        <item x="17"/>
        <item x="1"/>
        <item x="5"/>
        <item x="4"/>
        <item x="12"/>
        <item x="19"/>
        <item x="14"/>
        <item x="3"/>
        <item x="7"/>
        <item x="8"/>
        <item x="10"/>
        <item x="23"/>
        <item x="22"/>
        <item x="9"/>
        <item x="13"/>
        <item x="11"/>
        <item x="21"/>
        <item x="20"/>
        <item x="2"/>
        <item x="16"/>
        <item t="default"/>
      </items>
    </pivotField>
  </pivotFields>
  <rowFields count="1">
    <field x="0"/>
  </rowFields>
  <rowItems count="9">
    <i>
      <x/>
    </i>
    <i>
      <x v="1"/>
    </i>
    <i>
      <x v="2"/>
    </i>
    <i>
      <x v="3"/>
    </i>
    <i>
      <x v="4"/>
    </i>
    <i>
      <x v="5"/>
    </i>
    <i>
      <x v="6"/>
    </i>
    <i>
      <x v="7"/>
    </i>
    <i t="grand">
      <x/>
    </i>
  </rowItems>
  <colItems count="1">
    <i/>
  </colItems>
  <dataFields count="1">
    <dataField name="Sum of Sales" fld="1" baseField="0" baseItem="0"/>
  </dataFields>
  <formats count="1">
    <format dxfId="470">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343EEA-DED1-4F02-939F-D6F9D128D75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S5:T12" firstHeaderRow="1" firstDataRow="1" firstDataCol="1"/>
  <pivotFields count="2">
    <pivotField dataField="1" showAll="0"/>
    <pivotField axis="axisRow" showAll="0">
      <items count="7">
        <item x="0"/>
        <item x="1"/>
        <item x="4"/>
        <item x="3"/>
        <item x="5"/>
        <item x="2"/>
        <item t="default"/>
      </items>
    </pivotField>
  </pivotFields>
  <rowFields count="1">
    <field x="1"/>
  </rowFields>
  <rowItems count="7">
    <i>
      <x/>
    </i>
    <i>
      <x v="1"/>
    </i>
    <i>
      <x v="2"/>
    </i>
    <i>
      <x v="3"/>
    </i>
    <i>
      <x v="4"/>
    </i>
    <i>
      <x v="5"/>
    </i>
    <i t="grand">
      <x/>
    </i>
  </rowItems>
  <colItems count="1">
    <i/>
  </colItems>
  <dataFields count="1">
    <dataField name="Count of Coustomr Name" fld="0" subtotal="count" baseField="0" baseItem="0"/>
  </dataFields>
  <chartFormats count="7">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 count="1" selected="0">
            <x v="0"/>
          </reference>
        </references>
      </pivotArea>
    </chartFormat>
    <chartFormat chart="17" format="10">
      <pivotArea type="data" outline="0" fieldPosition="0">
        <references count="2">
          <reference field="4294967294" count="1" selected="0">
            <x v="0"/>
          </reference>
          <reference field="1" count="1" selected="0">
            <x v="1"/>
          </reference>
        </references>
      </pivotArea>
    </chartFormat>
    <chartFormat chart="17" format="11">
      <pivotArea type="data" outline="0" fieldPosition="0">
        <references count="2">
          <reference field="4294967294" count="1" selected="0">
            <x v="0"/>
          </reference>
          <reference field="1" count="1" selected="0">
            <x v="2"/>
          </reference>
        </references>
      </pivotArea>
    </chartFormat>
    <chartFormat chart="17" format="12">
      <pivotArea type="data" outline="0" fieldPosition="0">
        <references count="2">
          <reference field="4294967294" count="1" selected="0">
            <x v="0"/>
          </reference>
          <reference field="1" count="1" selected="0">
            <x v="3"/>
          </reference>
        </references>
      </pivotArea>
    </chartFormat>
    <chartFormat chart="17" format="13">
      <pivotArea type="data" outline="0" fieldPosition="0">
        <references count="2">
          <reference field="4294967294" count="1" selected="0">
            <x v="0"/>
          </reference>
          <reference field="1" count="1" selected="0">
            <x v="4"/>
          </reference>
        </references>
      </pivotArea>
    </chartFormat>
    <chartFormat chart="17"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7C5EB1-92D1-4027-A8CB-673F0000654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V5:W9" firstHeaderRow="1" firstDataRow="1" firstDataCol="1"/>
  <pivotFields count="10">
    <pivotField numFmtId="16" showAll="0"/>
    <pivotField showAll="0"/>
    <pivotField axis="axisRow" showAll="0">
      <items count="4">
        <item x="2"/>
        <item x="0"/>
        <item x="1"/>
        <item t="default"/>
      </items>
    </pivotField>
    <pivotField showAll="0">
      <items count="4">
        <item x="2"/>
        <item x="0"/>
        <item x="1"/>
        <item t="default"/>
      </items>
    </pivotField>
    <pivotField showAll="0">
      <items count="8">
        <item x="6"/>
        <item x="1"/>
        <item x="3"/>
        <item x="2"/>
        <item x="4"/>
        <item x="5"/>
        <item x="0"/>
        <item t="default"/>
      </items>
    </pivotField>
    <pivotField showAll="0"/>
    <pivotField dataField="1" showAll="0"/>
    <pivotField showAll="0"/>
    <pivotField showAll="0"/>
    <pivotField showAll="0">
      <items count="7">
        <item x="0"/>
        <item x="1"/>
        <item x="4"/>
        <item x="3"/>
        <item x="5"/>
        <item x="2"/>
        <item t="default"/>
      </items>
    </pivotField>
  </pivotFields>
  <rowFields count="1">
    <field x="2"/>
  </rowFields>
  <rowItems count="4">
    <i>
      <x/>
    </i>
    <i>
      <x v="1"/>
    </i>
    <i>
      <x v="2"/>
    </i>
    <i t="grand">
      <x/>
    </i>
  </rowItems>
  <colItems count="1">
    <i/>
  </colItems>
  <dataFields count="1">
    <dataField name="Sum of Sales" fld="6" baseField="0" baseItem="0" numFmtId="165"/>
  </dataFields>
  <formats count="2">
    <format dxfId="472">
      <pivotArea dataOnly="0" labelOnly="1" outline="0" axis="axisValues" fieldPosition="0"/>
    </format>
    <format dxfId="4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947CD9-E328-4FD1-BDC9-22218CA2438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E5:AF7" firstHeaderRow="1" firstDataRow="1" firstDataCol="1"/>
  <pivotFields count="10">
    <pivotField numFmtId="16" showAll="0"/>
    <pivotField showAll="0"/>
    <pivotField showAll="0">
      <items count="4">
        <item x="2"/>
        <item x="0"/>
        <item x="1"/>
        <item t="default"/>
      </items>
    </pivotField>
    <pivotField showAll="0">
      <items count="4">
        <item x="2"/>
        <item x="0"/>
        <item x="1"/>
        <item t="default"/>
      </items>
    </pivotField>
    <pivotField showAll="0">
      <items count="8">
        <item x="6"/>
        <item x="1"/>
        <item x="3"/>
        <item x="2"/>
        <item x="4"/>
        <item x="5"/>
        <item x="0"/>
        <item t="default"/>
      </items>
    </pivotField>
    <pivotField showAll="0"/>
    <pivotField dataField="1" showAll="0"/>
    <pivotField showAll="0"/>
    <pivotField axis="axisRow" showAll="0">
      <items count="2">
        <item x="0"/>
        <item t="default"/>
      </items>
    </pivotField>
    <pivotField showAll="0">
      <items count="7">
        <item x="0"/>
        <item x="1"/>
        <item x="4"/>
        <item x="3"/>
        <item x="5"/>
        <item x="2"/>
        <item t="default"/>
      </items>
    </pivotField>
  </pivotFields>
  <rowFields count="1">
    <field x="8"/>
  </rowFields>
  <rowItems count="2">
    <i>
      <x/>
    </i>
    <i t="grand">
      <x/>
    </i>
  </rowItems>
  <colItems count="1">
    <i/>
  </colItems>
  <dataFields count="1">
    <dataField name="Sum of Sales" fld="6" baseField="0" baseItem="0" numFmtId="164"/>
  </dataFields>
  <formats count="2">
    <format dxfId="474">
      <pivotArea dataOnly="0" labelOnly="1" outline="0" axis="axisValues" fieldPosition="0"/>
    </format>
    <format dxfId="4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5A27E6-925A-4721-BF67-4F4404DAFE05}" sourceName="Category">
  <pivotTables>
    <pivotTable tabId="2" name="PivotTable2"/>
    <pivotTable tabId="2" name="PivotTable1"/>
    <pivotTable tabId="2" name="PivotTable4"/>
    <pivotTable tabId="2" name="PivotTable5"/>
    <pivotTable tabId="2" name="PivotTable6"/>
    <pivotTable tabId="2" name="PivotTable8"/>
    <pivotTable tabId="2" name="PivotTable9"/>
  </pivotTables>
  <data>
    <tabular pivotCacheId="19644680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B02694D-1761-4B54-8F35-174B338576C3}" sourceName="Year">
  <pivotTables>
    <pivotTable tabId="2" name="PivotTable2"/>
    <pivotTable tabId="2" name="PivotTable4"/>
    <pivotTable tabId="2" name="PivotTable5"/>
    <pivotTable tabId="2" name="PivotTable6"/>
    <pivotTable tabId="2" name="PivotTable8"/>
    <pivotTable tabId="2" name="PivotTable9"/>
  </pivotTables>
  <data>
    <tabular pivotCacheId="1964468054">
      <items count="6">
        <i x="0" s="1"/>
        <i x="1" s="1"/>
        <i x="4" s="1"/>
        <i x="3"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982507-82A2-4295-A4FD-493957F23994}" sourceName="Month">
  <pivotTables>
    <pivotTable tabId="2" name="PivotTable7"/>
  </pivotTables>
  <data>
    <tabular pivotCacheId="1658635847">
      <items count="8">
        <i x="4" s="1"/>
        <i x="0" s="1"/>
        <i x="1" s="1"/>
        <i x="2" s="1"/>
        <i x="3"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2405B3-4FBC-4078-86C5-E59797040732}" cache="Slicer_Category" caption="Category" style="SlicerStyleDark1" rowHeight="241300"/>
  <slicer name="Year" xr10:uid="{D0FA90ED-2AB1-4421-B2A8-6AC526B7F3EE}" cache="Slicer_Year" caption="Year" style="SlicerStyleDark1" rowHeight="241300"/>
  <slicer name="Month" xr10:uid="{35FB9DB3-FB29-4AE1-AEDA-C810F57BA676}" cache="Slicer_Month" caption="Month"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2D4F8DA-E74E-4C44-8565-505DD224DFCB}" cache="Slicer_Category" caption="Category" style="SlicerStyleDark1" rowHeight="241300"/>
  <slicer name="Year 1" xr10:uid="{1F66C90F-1FF4-4A9B-8647-E7AC3464EEAF}" cache="Slicer_Year" caption="Year" style="SlicerStyleDark1" rowHeight="241300"/>
  <slicer name="Month 1" xr10:uid="{04B0DD20-1280-424F-89B6-D3FC0294E887}" cache="Slicer_Month" caption="Month"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0C2E6-02AC-4BDF-8086-5A8974D2B9F1}" name="Table1" displayName="Table1" ref="A1:J26" totalsRowShown="0" headerRowDxfId="482" dataDxfId="481">
  <autoFilter ref="A1:J26" xr:uid="{1EDB40C7-75C0-4E1A-9075-8C4CF73A3079}"/>
  <tableColumns count="10">
    <tableColumn id="1" xr3:uid="{12F0FBE9-DEEB-4095-8D0D-864FA7F4F9AC}" name="Order Date" dataDxfId="480"/>
    <tableColumn id="2" xr3:uid="{173D9C78-8BBA-410D-8454-1B69357261A6}" name="Customer Name"/>
    <tableColumn id="3" xr3:uid="{D775B03B-70E9-429D-BF9A-A44F7396C5FE}" name="State"/>
    <tableColumn id="9" xr3:uid="{895CAE1F-90F4-4DC4-A6FB-248D55974E52}" name="Category"/>
    <tableColumn id="10" xr3:uid="{A3D53328-A45D-4A14-8110-0F79FC891CC0}" name="Sub-Category"/>
    <tableColumn id="4" xr3:uid="{A339AE14-3FEB-4F66-A0B9-1E388A37AE09}" name="Quantity" dataDxfId="479"/>
    <tableColumn id="5" xr3:uid="{6D4DB6F7-9853-47C1-A98E-C98595022657}" name="Sales" dataDxfId="478"/>
    <tableColumn id="6" xr3:uid="{26738C01-EB7C-4CAA-8B2A-9EF08257231B}" name="Profit" dataDxfId="477"/>
    <tableColumn id="7" xr3:uid="{DC7F3E35-5B3A-4EA1-AF45-4F1AE2CAEF34}" name="Month" dataDxfId="476"/>
    <tableColumn id="8" xr3:uid="{E28BEF43-45AE-4072-A4B0-F5C29D2FDEB1}" name="Year" dataDxfId="4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40C7-75C0-4E1A-9075-8C4CF73A3079}">
  <dimension ref="A1:L26"/>
  <sheetViews>
    <sheetView topLeftCell="B1" zoomScale="178" zoomScaleNormal="178" workbookViewId="0">
      <pane ySplit="1" topLeftCell="A2" activePane="bottomLeft" state="frozen"/>
      <selection pane="bottomLeft" activeCell="D1" sqref="D1"/>
    </sheetView>
  </sheetViews>
  <sheetFormatPr defaultRowHeight="14.25"/>
  <cols>
    <col min="1" max="1" width="13" customWidth="1"/>
    <col min="2" max="2" width="17.875" customWidth="1"/>
    <col min="4" max="4" width="13.875" customWidth="1"/>
    <col min="5" max="5" width="12.375" customWidth="1"/>
    <col min="6" max="6" width="10.875" style="3" customWidth="1"/>
    <col min="7" max="8" width="9.125" style="3"/>
  </cols>
  <sheetData>
    <row r="1" spans="1:12">
      <c r="A1" s="3" t="s">
        <v>16</v>
      </c>
      <c r="B1" s="3" t="s">
        <v>64</v>
      </c>
      <c r="C1" s="3" t="s">
        <v>14</v>
      </c>
      <c r="D1" s="3" t="s">
        <v>18</v>
      </c>
      <c r="E1" s="3" t="s">
        <v>19</v>
      </c>
      <c r="F1" s="3" t="s">
        <v>13</v>
      </c>
      <c r="G1" s="3" t="s">
        <v>12</v>
      </c>
      <c r="H1" s="3" t="s">
        <v>11</v>
      </c>
      <c r="I1" s="3" t="s">
        <v>10</v>
      </c>
      <c r="J1" s="3" t="s">
        <v>9</v>
      </c>
    </row>
    <row r="2" spans="1:12">
      <c r="A2" s="1">
        <v>46211</v>
      </c>
      <c r="B2" t="s">
        <v>20</v>
      </c>
      <c r="C2" t="s">
        <v>31</v>
      </c>
      <c r="D2" t="s">
        <v>34</v>
      </c>
      <c r="E2" t="s">
        <v>38</v>
      </c>
      <c r="F2" s="3">
        <v>4</v>
      </c>
      <c r="G2" s="3">
        <v>890.55</v>
      </c>
      <c r="H2" s="3">
        <v>87.98</v>
      </c>
      <c r="I2" s="2" t="s">
        <v>8</v>
      </c>
      <c r="J2" s="3">
        <v>2021</v>
      </c>
    </row>
    <row r="3" spans="1:12">
      <c r="A3" s="1">
        <v>46212</v>
      </c>
      <c r="B3" t="s">
        <v>20</v>
      </c>
      <c r="C3" t="s">
        <v>31</v>
      </c>
      <c r="D3" t="s">
        <v>34</v>
      </c>
      <c r="E3" t="s">
        <v>39</v>
      </c>
      <c r="F3" s="3">
        <v>4</v>
      </c>
      <c r="G3" s="3">
        <v>993.98</v>
      </c>
      <c r="H3" s="3">
        <v>67.98</v>
      </c>
      <c r="I3" s="2" t="s">
        <v>8</v>
      </c>
      <c r="J3" s="3">
        <v>2022</v>
      </c>
    </row>
    <row r="4" spans="1:12">
      <c r="A4" s="1">
        <v>46213</v>
      </c>
      <c r="B4" t="s">
        <v>20</v>
      </c>
      <c r="C4" t="s">
        <v>31</v>
      </c>
      <c r="D4" t="s">
        <v>34</v>
      </c>
      <c r="E4" t="s">
        <v>37</v>
      </c>
      <c r="F4" s="3">
        <v>4</v>
      </c>
      <c r="G4" s="3">
        <v>2900.33</v>
      </c>
      <c r="H4" s="3">
        <v>68.900000000000006</v>
      </c>
      <c r="I4" s="2" t="s">
        <v>8</v>
      </c>
      <c r="J4" s="3">
        <v>2021</v>
      </c>
    </row>
    <row r="5" spans="1:12">
      <c r="A5" s="1">
        <v>46214</v>
      </c>
      <c r="B5" t="s">
        <v>1</v>
      </c>
      <c r="C5" t="s">
        <v>31</v>
      </c>
      <c r="D5" t="s">
        <v>34</v>
      </c>
      <c r="E5" t="s">
        <v>41</v>
      </c>
      <c r="F5" s="3">
        <v>5</v>
      </c>
      <c r="G5" s="3">
        <v>1200.6600000000001</v>
      </c>
      <c r="H5" s="3">
        <v>54.87</v>
      </c>
      <c r="I5" s="2" t="s">
        <v>57</v>
      </c>
      <c r="J5" s="3">
        <v>2021</v>
      </c>
      <c r="L5" t="s">
        <v>17</v>
      </c>
    </row>
    <row r="6" spans="1:12">
      <c r="A6" s="1">
        <v>46215</v>
      </c>
      <c r="B6" t="s">
        <v>22</v>
      </c>
      <c r="C6" t="s">
        <v>31</v>
      </c>
      <c r="D6" t="s">
        <v>34</v>
      </c>
      <c r="E6" t="s">
        <v>39</v>
      </c>
      <c r="F6" s="3">
        <v>7</v>
      </c>
      <c r="G6" s="3">
        <v>1006.87</v>
      </c>
      <c r="H6" s="3">
        <v>229.98</v>
      </c>
      <c r="I6" s="2" t="s">
        <v>8</v>
      </c>
      <c r="J6" s="3">
        <v>2025</v>
      </c>
    </row>
    <row r="7" spans="1:12">
      <c r="A7" s="1">
        <v>46216</v>
      </c>
      <c r="B7" t="s">
        <v>5</v>
      </c>
      <c r="C7" t="s">
        <v>31</v>
      </c>
      <c r="D7" t="s">
        <v>34</v>
      </c>
      <c r="E7" t="s">
        <v>40</v>
      </c>
      <c r="F7" s="3">
        <v>8</v>
      </c>
      <c r="G7" s="3">
        <v>1002.76</v>
      </c>
      <c r="H7" s="3">
        <v>980</v>
      </c>
      <c r="I7" s="2" t="s">
        <v>8</v>
      </c>
      <c r="J7" s="3">
        <v>2024</v>
      </c>
    </row>
    <row r="8" spans="1:12">
      <c r="A8" s="1">
        <v>46217</v>
      </c>
      <c r="B8" t="s">
        <v>21</v>
      </c>
      <c r="C8" t="s">
        <v>32</v>
      </c>
      <c r="D8" t="s">
        <v>35</v>
      </c>
      <c r="E8" t="s">
        <v>39</v>
      </c>
      <c r="F8" s="3">
        <v>7</v>
      </c>
      <c r="G8" s="3">
        <v>14.87</v>
      </c>
      <c r="H8" s="3">
        <v>342.99</v>
      </c>
      <c r="I8" s="2" t="s">
        <v>58</v>
      </c>
      <c r="J8" s="3">
        <v>2021</v>
      </c>
    </row>
    <row r="9" spans="1:12">
      <c r="A9" s="1">
        <v>46218</v>
      </c>
      <c r="B9" t="s">
        <v>21</v>
      </c>
      <c r="C9" t="s">
        <v>32</v>
      </c>
      <c r="D9" t="s">
        <v>35</v>
      </c>
      <c r="E9" t="s">
        <v>38</v>
      </c>
      <c r="F9" s="3">
        <v>4</v>
      </c>
      <c r="G9" s="3">
        <v>1200.8699999999999</v>
      </c>
      <c r="H9" s="3">
        <v>231.87</v>
      </c>
      <c r="I9" s="2" t="s">
        <v>57</v>
      </c>
      <c r="J9" s="3">
        <v>2024</v>
      </c>
    </row>
    <row r="10" spans="1:12">
      <c r="A10" s="1">
        <v>46219</v>
      </c>
      <c r="B10" t="s">
        <v>21</v>
      </c>
      <c r="C10" t="s">
        <v>32</v>
      </c>
      <c r="D10" t="s">
        <v>35</v>
      </c>
      <c r="E10" t="s">
        <v>42</v>
      </c>
      <c r="F10" s="3">
        <v>3</v>
      </c>
      <c r="G10" s="3">
        <v>1398.76</v>
      </c>
      <c r="H10" s="3">
        <v>123.87</v>
      </c>
      <c r="I10" s="2" t="s">
        <v>8</v>
      </c>
      <c r="J10" s="3">
        <v>2023</v>
      </c>
    </row>
    <row r="11" spans="1:12">
      <c r="A11" s="1">
        <v>46220</v>
      </c>
      <c r="B11" t="s">
        <v>21</v>
      </c>
      <c r="C11" t="s">
        <v>32</v>
      </c>
      <c r="D11" t="s">
        <v>35</v>
      </c>
      <c r="E11" t="s">
        <v>43</v>
      </c>
      <c r="F11" s="3">
        <v>3</v>
      </c>
      <c r="G11" s="3">
        <v>1578.98</v>
      </c>
      <c r="H11" s="3">
        <v>998</v>
      </c>
      <c r="I11" s="2" t="s">
        <v>8</v>
      </c>
      <c r="J11" s="3">
        <v>2023</v>
      </c>
    </row>
    <row r="12" spans="1:12">
      <c r="A12" s="1">
        <v>46221</v>
      </c>
      <c r="B12" t="s">
        <v>4</v>
      </c>
      <c r="C12" t="s">
        <v>32</v>
      </c>
      <c r="D12" t="s">
        <v>35</v>
      </c>
      <c r="E12" t="s">
        <v>41</v>
      </c>
      <c r="F12" s="3">
        <v>8</v>
      </c>
      <c r="G12" s="3">
        <v>1490.88</v>
      </c>
      <c r="H12" s="3">
        <v>230</v>
      </c>
      <c r="I12" s="2" t="s">
        <v>8</v>
      </c>
      <c r="J12" s="3">
        <v>2025</v>
      </c>
    </row>
    <row r="13" spans="1:12">
      <c r="A13" s="1">
        <v>46222</v>
      </c>
      <c r="B13" t="s">
        <v>0</v>
      </c>
      <c r="C13" t="s">
        <v>32</v>
      </c>
      <c r="D13" t="s">
        <v>35</v>
      </c>
      <c r="E13" t="s">
        <v>38</v>
      </c>
      <c r="F13" s="3">
        <v>9</v>
      </c>
      <c r="G13" s="3">
        <v>1906.9</v>
      </c>
      <c r="H13" s="3">
        <v>213</v>
      </c>
      <c r="I13" s="2" t="s">
        <v>58</v>
      </c>
      <c r="J13" s="3">
        <v>2024</v>
      </c>
    </row>
    <row r="14" spans="1:12">
      <c r="A14" s="1">
        <v>46223</v>
      </c>
      <c r="B14" t="s">
        <v>23</v>
      </c>
      <c r="C14" t="s">
        <v>32</v>
      </c>
      <c r="D14" t="s">
        <v>35</v>
      </c>
      <c r="E14" t="s">
        <v>42</v>
      </c>
      <c r="F14" s="3">
        <v>5</v>
      </c>
      <c r="G14" s="3">
        <v>1097.8900000000001</v>
      </c>
      <c r="H14" s="3">
        <v>879</v>
      </c>
      <c r="I14" s="2" t="s">
        <v>57</v>
      </c>
      <c r="J14" s="3">
        <v>2023</v>
      </c>
    </row>
    <row r="15" spans="1:12">
      <c r="A15" s="1">
        <v>46224</v>
      </c>
      <c r="B15" t="s">
        <v>24</v>
      </c>
      <c r="C15" t="s">
        <v>33</v>
      </c>
      <c r="D15" t="s">
        <v>36</v>
      </c>
      <c r="E15" t="s">
        <v>43</v>
      </c>
      <c r="F15" s="3">
        <v>4</v>
      </c>
      <c r="G15" s="3">
        <v>1709.87</v>
      </c>
      <c r="H15" s="3">
        <v>23.6</v>
      </c>
      <c r="I15" s="2" t="s">
        <v>59</v>
      </c>
      <c r="J15" s="3">
        <v>2024</v>
      </c>
    </row>
    <row r="16" spans="1:12">
      <c r="A16" s="1">
        <v>46225</v>
      </c>
      <c r="B16" t="s">
        <v>7</v>
      </c>
      <c r="C16" t="s">
        <v>33</v>
      </c>
      <c r="D16" t="s">
        <v>36</v>
      </c>
      <c r="E16" t="s">
        <v>40</v>
      </c>
      <c r="F16" s="3">
        <v>5</v>
      </c>
      <c r="G16" s="3">
        <v>1098.98</v>
      </c>
      <c r="H16" s="3">
        <v>65.98</v>
      </c>
      <c r="I16" s="2" t="s">
        <v>58</v>
      </c>
      <c r="J16" s="3">
        <v>2023</v>
      </c>
    </row>
    <row r="17" spans="1:10">
      <c r="A17" s="1">
        <v>46226</v>
      </c>
      <c r="B17" t="s">
        <v>25</v>
      </c>
      <c r="C17" t="s">
        <v>33</v>
      </c>
      <c r="D17" t="s">
        <v>36</v>
      </c>
      <c r="E17" t="s">
        <v>38</v>
      </c>
      <c r="F17" s="3">
        <v>9</v>
      </c>
      <c r="G17" s="3">
        <v>209.78</v>
      </c>
      <c r="H17" s="3">
        <v>87.87</v>
      </c>
      <c r="I17" s="2" t="s">
        <v>57</v>
      </c>
      <c r="J17" s="3">
        <v>2025</v>
      </c>
    </row>
    <row r="18" spans="1:10">
      <c r="A18" s="1">
        <v>46227</v>
      </c>
      <c r="B18" t="s">
        <v>3</v>
      </c>
      <c r="C18" t="s">
        <v>33</v>
      </c>
      <c r="D18" t="s">
        <v>34</v>
      </c>
      <c r="E18" t="s">
        <v>42</v>
      </c>
      <c r="F18" s="3">
        <v>7</v>
      </c>
      <c r="G18" s="3">
        <v>9017</v>
      </c>
      <c r="H18" s="3">
        <v>54.98</v>
      </c>
      <c r="I18" s="2" t="s">
        <v>62</v>
      </c>
      <c r="J18" s="3">
        <v>2023</v>
      </c>
    </row>
    <row r="19" spans="1:10">
      <c r="A19" s="1">
        <v>46228</v>
      </c>
      <c r="B19" t="s">
        <v>26</v>
      </c>
      <c r="C19" t="s">
        <v>33</v>
      </c>
      <c r="D19" t="s">
        <v>34</v>
      </c>
      <c r="E19" t="s">
        <v>41</v>
      </c>
      <c r="F19" s="3">
        <v>8</v>
      </c>
      <c r="G19" s="3">
        <v>988.98</v>
      </c>
      <c r="H19" s="3">
        <v>43.87</v>
      </c>
      <c r="I19" s="2" t="s">
        <v>60</v>
      </c>
      <c r="J19" s="3">
        <v>2023</v>
      </c>
    </row>
    <row r="20" spans="1:10">
      <c r="A20" s="1">
        <v>46229</v>
      </c>
      <c r="B20" t="s">
        <v>26</v>
      </c>
      <c r="C20" t="s">
        <v>33</v>
      </c>
      <c r="D20" t="s">
        <v>35</v>
      </c>
      <c r="E20" t="s">
        <v>42</v>
      </c>
      <c r="F20" s="3">
        <v>9</v>
      </c>
      <c r="G20" s="3">
        <v>900.98</v>
      </c>
      <c r="H20" s="3">
        <v>54.89</v>
      </c>
      <c r="I20" s="2" t="s">
        <v>60</v>
      </c>
      <c r="J20" s="3">
        <v>2024</v>
      </c>
    </row>
    <row r="21" spans="1:10">
      <c r="A21" s="1">
        <v>46230</v>
      </c>
      <c r="B21" t="s">
        <v>2</v>
      </c>
      <c r="C21" t="s">
        <v>31</v>
      </c>
      <c r="D21" t="s">
        <v>34</v>
      </c>
      <c r="E21" t="s">
        <v>40</v>
      </c>
      <c r="F21" s="3">
        <v>6</v>
      </c>
      <c r="G21" s="3">
        <v>1097.98</v>
      </c>
      <c r="H21" s="3">
        <v>43.98</v>
      </c>
      <c r="I21" s="2" t="s">
        <v>59</v>
      </c>
      <c r="J21" s="3">
        <v>2021</v>
      </c>
    </row>
    <row r="22" spans="1:10">
      <c r="A22" s="1">
        <v>46231</v>
      </c>
      <c r="B22" t="s">
        <v>27</v>
      </c>
      <c r="C22" t="s">
        <v>31</v>
      </c>
      <c r="D22" t="s">
        <v>34</v>
      </c>
      <c r="E22" t="s">
        <v>38</v>
      </c>
      <c r="F22" s="3">
        <v>8</v>
      </c>
      <c r="G22" s="3">
        <v>1989.98</v>
      </c>
      <c r="H22" s="3">
        <v>87.98</v>
      </c>
      <c r="I22" s="2" t="s">
        <v>61</v>
      </c>
      <c r="J22" s="3">
        <v>2023</v>
      </c>
    </row>
    <row r="23" spans="1:10">
      <c r="A23" s="1">
        <v>46232</v>
      </c>
      <c r="B23" t="s">
        <v>27</v>
      </c>
      <c r="C23" t="s">
        <v>31</v>
      </c>
      <c r="D23" t="s">
        <v>35</v>
      </c>
      <c r="E23" t="s">
        <v>43</v>
      </c>
      <c r="F23" s="3">
        <v>6</v>
      </c>
      <c r="G23" s="3">
        <v>1909.9</v>
      </c>
      <c r="H23" s="3">
        <v>23.98</v>
      </c>
      <c r="I23" s="2" t="s">
        <v>60</v>
      </c>
      <c r="J23" s="3">
        <v>2021</v>
      </c>
    </row>
    <row r="24" spans="1:10">
      <c r="A24" s="1">
        <v>46233</v>
      </c>
      <c r="B24" t="s">
        <v>28</v>
      </c>
      <c r="C24" t="s">
        <v>31</v>
      </c>
      <c r="D24" t="s">
        <v>34</v>
      </c>
      <c r="E24" t="s">
        <v>42</v>
      </c>
      <c r="F24" s="3">
        <v>9</v>
      </c>
      <c r="G24" s="3">
        <v>1547.98</v>
      </c>
      <c r="H24" s="3">
        <v>98.07</v>
      </c>
      <c r="I24" s="2" t="s">
        <v>63</v>
      </c>
      <c r="J24" s="3">
        <v>2023</v>
      </c>
    </row>
    <row r="25" spans="1:10">
      <c r="A25" s="1">
        <v>46234</v>
      </c>
      <c r="B25" t="s">
        <v>26</v>
      </c>
      <c r="C25" t="s">
        <v>31</v>
      </c>
      <c r="D25" t="s">
        <v>34</v>
      </c>
      <c r="E25" t="s">
        <v>37</v>
      </c>
      <c r="F25" s="3">
        <v>9</v>
      </c>
      <c r="G25" s="3">
        <v>1544.87</v>
      </c>
      <c r="H25" s="3">
        <v>36.979999999999997</v>
      </c>
      <c r="I25" s="2" t="s">
        <v>61</v>
      </c>
      <c r="J25" s="3">
        <v>2021</v>
      </c>
    </row>
    <row r="26" spans="1:10">
      <c r="A26" s="1">
        <v>46235</v>
      </c>
      <c r="B26" t="s">
        <v>6</v>
      </c>
      <c r="C26" t="s">
        <v>31</v>
      </c>
      <c r="D26" t="s">
        <v>35</v>
      </c>
      <c r="E26" t="s">
        <v>39</v>
      </c>
      <c r="F26" s="3">
        <v>8</v>
      </c>
      <c r="G26" s="3">
        <v>32.700000000000003</v>
      </c>
      <c r="H26" s="3">
        <v>887</v>
      </c>
      <c r="I26" s="2" t="s">
        <v>61</v>
      </c>
      <c r="J26" s="3">
        <v>2024</v>
      </c>
    </row>
  </sheetData>
  <sortState ref="B2:B26">
    <sortCondition ref="B2:B26"/>
  </sortState>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C141-3F2D-45F2-A626-665891CF7A06}">
  <dimension ref="A1:AF43"/>
  <sheetViews>
    <sheetView showGridLines="0" workbookViewId="0">
      <selection activeCell="J4" sqref="J4"/>
    </sheetView>
  </sheetViews>
  <sheetFormatPr defaultRowHeight="14.25"/>
  <cols>
    <col min="1" max="1" width="13.75" bestFit="1" customWidth="1"/>
    <col min="2" max="2" width="3.875" customWidth="1"/>
    <col min="3" max="3" width="13.125" bestFit="1" customWidth="1"/>
    <col min="4" max="4" width="16.125" bestFit="1" customWidth="1"/>
    <col min="5" max="5" width="14.625" bestFit="1" customWidth="1"/>
    <col min="6" max="6" width="11.25" bestFit="1" customWidth="1"/>
    <col min="7" max="7" width="11.375" bestFit="1" customWidth="1"/>
    <col min="8" max="8" width="13.625" customWidth="1"/>
    <col min="9" max="9" width="5.25" customWidth="1"/>
    <col min="10" max="10" width="13.125" bestFit="1" customWidth="1"/>
    <col min="11" max="11" width="13.75" bestFit="1" customWidth="1"/>
    <col min="12" max="12" width="4.25" customWidth="1"/>
    <col min="14" max="14" width="11.125" bestFit="1" customWidth="1"/>
    <col min="15" max="15" width="4.375" customWidth="1"/>
    <col min="16" max="16" width="13.75" customWidth="1"/>
    <col min="18" max="18" width="4.5" customWidth="1"/>
    <col min="19" max="19" width="13.125" bestFit="1" customWidth="1"/>
    <col min="20" max="20" width="23.5" bestFit="1" customWidth="1"/>
    <col min="21" max="21" width="5.375" customWidth="1"/>
    <col min="22" max="22" width="13.125" bestFit="1" customWidth="1"/>
    <col min="23" max="23" width="13.75" bestFit="1" customWidth="1"/>
    <col min="24" max="24" width="4.25" customWidth="1"/>
    <col min="25" max="25" width="8.375" customWidth="1"/>
    <col min="26" max="26" width="10.25" customWidth="1"/>
    <col min="27" max="27" width="7.125" customWidth="1"/>
    <col min="28" max="28" width="13.125" bestFit="1" customWidth="1"/>
    <col min="29" max="29" width="13.625" bestFit="1" customWidth="1"/>
    <col min="30" max="30" width="3.75" customWidth="1"/>
    <col min="31" max="31" width="13.125" bestFit="1" customWidth="1"/>
    <col min="32" max="32" width="13.75" bestFit="1" customWidth="1"/>
  </cols>
  <sheetData>
    <row r="1" spans="1:32" ht="15">
      <c r="P1" s="6" t="s">
        <v>15</v>
      </c>
      <c r="Q1" s="7" t="s">
        <v>9</v>
      </c>
    </row>
    <row r="2" spans="1:32" ht="15.75">
      <c r="A2" s="5" t="s">
        <v>47</v>
      </c>
      <c r="P2" s="8" t="s">
        <v>20</v>
      </c>
      <c r="Q2" s="9">
        <v>2021</v>
      </c>
    </row>
    <row r="3" spans="1:32" ht="15.75">
      <c r="A3" s="12" t="s">
        <v>30</v>
      </c>
      <c r="C3" s="5" t="s">
        <v>44</v>
      </c>
      <c r="J3" s="5" t="s">
        <v>49</v>
      </c>
      <c r="P3" s="10" t="s">
        <v>20</v>
      </c>
      <c r="Q3" s="11">
        <v>2022</v>
      </c>
    </row>
    <row r="4" spans="1:32" ht="15.75">
      <c r="A4" s="16">
        <v>6017.6199999999981</v>
      </c>
      <c r="C4" s="13" t="s">
        <v>30</v>
      </c>
      <c r="D4" s="13" t="s">
        <v>56</v>
      </c>
      <c r="H4" s="12"/>
      <c r="J4" s="13" t="s">
        <v>45</v>
      </c>
      <c r="K4" s="12" t="s">
        <v>29</v>
      </c>
      <c r="M4" s="5" t="s">
        <v>50</v>
      </c>
      <c r="N4" s="5" t="s">
        <v>12</v>
      </c>
      <c r="P4" s="10" t="s">
        <v>1</v>
      </c>
      <c r="Q4" s="11">
        <v>2021</v>
      </c>
      <c r="S4" s="5" t="s">
        <v>51</v>
      </c>
      <c r="V4" s="5" t="s">
        <v>53</v>
      </c>
      <c r="Y4" s="5" t="s">
        <v>14</v>
      </c>
      <c r="Z4" s="5" t="s">
        <v>12</v>
      </c>
      <c r="AB4" s="5" t="s">
        <v>54</v>
      </c>
      <c r="AE4" s="5" t="s">
        <v>55</v>
      </c>
    </row>
    <row r="5" spans="1:32" ht="15">
      <c r="C5" s="13" t="s">
        <v>45</v>
      </c>
      <c r="D5" t="s">
        <v>36</v>
      </c>
      <c r="E5" t="s">
        <v>34</v>
      </c>
      <c r="F5" t="s">
        <v>35</v>
      </c>
      <c r="G5" t="s">
        <v>46</v>
      </c>
      <c r="H5" s="16"/>
      <c r="J5" s="14" t="s">
        <v>42</v>
      </c>
      <c r="K5" s="16">
        <v>13962.609999999999</v>
      </c>
      <c r="M5" t="str">
        <f>J5</f>
        <v>Phones</v>
      </c>
      <c r="N5" s="17">
        <f>GETPIVOTDATA("Sales",$J$4,"Sub-Category",M5)</f>
        <v>13962.609999999999</v>
      </c>
      <c r="P5" s="8" t="s">
        <v>22</v>
      </c>
      <c r="Q5" s="9">
        <v>2052</v>
      </c>
      <c r="S5" s="13" t="s">
        <v>45</v>
      </c>
      <c r="T5" t="s">
        <v>52</v>
      </c>
      <c r="V5" s="13" t="s">
        <v>45</v>
      </c>
      <c r="W5" s="12" t="s">
        <v>29</v>
      </c>
      <c r="Y5" t="str">
        <f>V6</f>
        <v>Kentucky</v>
      </c>
      <c r="Z5" s="17">
        <f>GETPIVOTDATA("Sales",$V$5,"State",Y5)</f>
        <v>13925.59</v>
      </c>
      <c r="AB5" s="13" t="s">
        <v>45</v>
      </c>
      <c r="AC5" s="12" t="s">
        <v>30</v>
      </c>
      <c r="AE5" s="13" t="s">
        <v>45</v>
      </c>
      <c r="AF5" s="12" t="s">
        <v>29</v>
      </c>
    </row>
    <row r="6" spans="1:32" ht="15.75">
      <c r="A6" s="5" t="s">
        <v>48</v>
      </c>
      <c r="C6" s="14">
        <v>2021</v>
      </c>
      <c r="D6" s="16"/>
      <c r="E6" s="16">
        <v>292.70999999999998</v>
      </c>
      <c r="F6" s="16">
        <v>366.97</v>
      </c>
      <c r="G6" s="16">
        <v>659.68000000000006</v>
      </c>
      <c r="H6" s="16"/>
      <c r="J6" s="14" t="s">
        <v>38</v>
      </c>
      <c r="K6" s="16">
        <v>6198.08</v>
      </c>
      <c r="M6" t="str">
        <f t="shared" ref="M6:M11" si="0">J6</f>
        <v>Storage</v>
      </c>
      <c r="N6" s="17">
        <f t="shared" ref="N6:N11" si="1">GETPIVOTDATA("Sales",$J$4,"Sub-Category",M6)</f>
        <v>6198.08</v>
      </c>
      <c r="P6" s="10" t="s">
        <v>5</v>
      </c>
      <c r="Q6" s="11">
        <v>2024</v>
      </c>
      <c r="S6" s="14">
        <v>2021</v>
      </c>
      <c r="T6" s="4">
        <v>6</v>
      </c>
      <c r="V6" s="14" t="s">
        <v>33</v>
      </c>
      <c r="W6" s="16">
        <v>13925.59</v>
      </c>
      <c r="Y6" t="str">
        <f>V7</f>
        <v>Texas</v>
      </c>
      <c r="Z6" s="17">
        <f>GETPIVOTDATA("Sales",$V$5,"State",Y6)</f>
        <v>16118.559999999998</v>
      </c>
      <c r="AB6" s="14" t="s">
        <v>4</v>
      </c>
      <c r="AC6" s="16">
        <v>230</v>
      </c>
      <c r="AE6" s="14" t="s">
        <v>8</v>
      </c>
      <c r="AF6" s="15">
        <v>38733.300000000003</v>
      </c>
    </row>
    <row r="7" spans="1:32" ht="15">
      <c r="A7" s="12" t="s">
        <v>29</v>
      </c>
      <c r="C7" s="14">
        <v>2022</v>
      </c>
      <c r="D7" s="16"/>
      <c r="E7" s="16">
        <v>67.98</v>
      </c>
      <c r="F7" s="16"/>
      <c r="G7" s="16">
        <v>67.98</v>
      </c>
      <c r="H7" s="16"/>
      <c r="J7" s="14" t="s">
        <v>43</v>
      </c>
      <c r="K7" s="16">
        <v>5198.75</v>
      </c>
      <c r="M7" t="str">
        <f t="shared" si="0"/>
        <v>Airports</v>
      </c>
      <c r="N7" s="17">
        <f t="shared" si="1"/>
        <v>5198.75</v>
      </c>
      <c r="P7" s="8" t="s">
        <v>21</v>
      </c>
      <c r="Q7" s="9">
        <v>2021</v>
      </c>
      <c r="S7" s="14">
        <v>2022</v>
      </c>
      <c r="T7" s="4">
        <v>1</v>
      </c>
      <c r="V7" s="14" t="s">
        <v>31</v>
      </c>
      <c r="W7" s="16">
        <v>16118.559999999998</v>
      </c>
      <c r="Y7" t="str">
        <f>V8</f>
        <v>Virginia</v>
      </c>
      <c r="Z7" s="17">
        <f>GETPIVOTDATA("Sales",$V$5,"State",Y7)</f>
        <v>8689.15</v>
      </c>
      <c r="AB7" s="14" t="s">
        <v>23</v>
      </c>
      <c r="AC7" s="16">
        <v>879</v>
      </c>
      <c r="AE7" s="14" t="s">
        <v>46</v>
      </c>
      <c r="AF7" s="15">
        <v>38733.300000000003</v>
      </c>
    </row>
    <row r="8" spans="1:32">
      <c r="A8" s="16">
        <v>38733.300000000003</v>
      </c>
      <c r="C8" s="14">
        <v>2023</v>
      </c>
      <c r="D8" s="16">
        <v>65.98</v>
      </c>
      <c r="E8" s="16">
        <v>284.89999999999998</v>
      </c>
      <c r="F8" s="16">
        <v>2000.87</v>
      </c>
      <c r="G8" s="16">
        <v>2351.75</v>
      </c>
      <c r="H8" s="16"/>
      <c r="J8" s="14" t="s">
        <v>37</v>
      </c>
      <c r="K8" s="16">
        <v>4445.2</v>
      </c>
      <c r="M8" t="str">
        <f t="shared" si="0"/>
        <v>Labels</v>
      </c>
      <c r="N8" s="17">
        <f t="shared" si="1"/>
        <v>4445.2</v>
      </c>
      <c r="P8" s="10" t="s">
        <v>21</v>
      </c>
      <c r="Q8" s="11">
        <v>2024</v>
      </c>
      <c r="S8" s="14">
        <v>2023</v>
      </c>
      <c r="T8" s="4">
        <v>7</v>
      </c>
      <c r="V8" s="14" t="s">
        <v>32</v>
      </c>
      <c r="W8" s="16">
        <v>8689.15</v>
      </c>
      <c r="AB8" s="14" t="s">
        <v>6</v>
      </c>
      <c r="AC8" s="16">
        <v>887</v>
      </c>
    </row>
    <row r="9" spans="1:32">
      <c r="C9" s="14">
        <v>2024</v>
      </c>
      <c r="D9" s="16">
        <v>23.6</v>
      </c>
      <c r="E9" s="16">
        <v>980</v>
      </c>
      <c r="F9" s="16">
        <v>1386.76</v>
      </c>
      <c r="G9" s="16">
        <v>2390.36</v>
      </c>
      <c r="H9" s="16"/>
      <c r="J9" s="14" t="s">
        <v>41</v>
      </c>
      <c r="K9" s="16">
        <v>3680.52</v>
      </c>
      <c r="M9" t="str">
        <f t="shared" si="0"/>
        <v>Binders</v>
      </c>
      <c r="N9" s="17">
        <f t="shared" si="1"/>
        <v>3680.52</v>
      </c>
      <c r="P9" s="8" t="s">
        <v>21</v>
      </c>
      <c r="Q9" s="9">
        <v>2023</v>
      </c>
      <c r="S9" s="14">
        <v>2024</v>
      </c>
      <c r="T9" s="4">
        <v>6</v>
      </c>
      <c r="V9" s="14" t="s">
        <v>46</v>
      </c>
      <c r="W9" s="16">
        <v>38733.299999999996</v>
      </c>
      <c r="AB9" s="14" t="s">
        <v>5</v>
      </c>
      <c r="AC9" s="16">
        <v>980</v>
      </c>
    </row>
    <row r="10" spans="1:32">
      <c r="A10" s="17">
        <f>GETPIVOTDATA("Profit",$A$3)</f>
        <v>6017.6199999999981</v>
      </c>
      <c r="C10" s="14">
        <v>2025</v>
      </c>
      <c r="D10" s="16">
        <v>87.87</v>
      </c>
      <c r="E10" s="16"/>
      <c r="F10" s="16">
        <v>230</v>
      </c>
      <c r="G10" s="16">
        <v>317.87</v>
      </c>
      <c r="H10" s="16"/>
      <c r="J10" s="14" t="s">
        <v>40</v>
      </c>
      <c r="K10" s="16">
        <v>3199.72</v>
      </c>
      <c r="M10" t="str">
        <f t="shared" si="0"/>
        <v>Paper</v>
      </c>
      <c r="N10" s="17">
        <f t="shared" si="1"/>
        <v>3199.72</v>
      </c>
      <c r="P10" s="8" t="s">
        <v>4</v>
      </c>
      <c r="Q10" s="9">
        <v>2025</v>
      </c>
      <c r="S10" s="14">
        <v>2025</v>
      </c>
      <c r="T10" s="4">
        <v>2</v>
      </c>
      <c r="AB10" s="14" t="s">
        <v>21</v>
      </c>
      <c r="AC10" s="16">
        <v>1696.73</v>
      </c>
    </row>
    <row r="11" spans="1:32">
      <c r="C11" s="14">
        <v>2052</v>
      </c>
      <c r="D11" s="16"/>
      <c r="E11" s="16">
        <v>229.98</v>
      </c>
      <c r="F11" s="16"/>
      <c r="G11" s="16">
        <v>229.98</v>
      </c>
      <c r="H11" s="16"/>
      <c r="J11" s="14" t="s">
        <v>39</v>
      </c>
      <c r="K11" s="16">
        <v>2048.4199999999996</v>
      </c>
      <c r="M11" t="str">
        <f t="shared" si="0"/>
        <v>Arts</v>
      </c>
      <c r="N11" s="17">
        <f t="shared" si="1"/>
        <v>2048.4199999999996</v>
      </c>
      <c r="P11" s="10" t="s">
        <v>0</v>
      </c>
      <c r="Q11" s="11">
        <v>2024</v>
      </c>
      <c r="S11" s="14">
        <v>2052</v>
      </c>
      <c r="T11" s="4">
        <v>1</v>
      </c>
      <c r="AB11" s="14" t="s">
        <v>46</v>
      </c>
      <c r="AC11" s="16">
        <v>4672.7299999999996</v>
      </c>
    </row>
    <row r="12" spans="1:32">
      <c r="A12" s="17">
        <f>GETPIVOTDATA("Sales",$A$7)</f>
        <v>38733.300000000003</v>
      </c>
      <c r="C12" s="14" t="s">
        <v>46</v>
      </c>
      <c r="D12" s="16">
        <v>177.45000000000002</v>
      </c>
      <c r="E12" s="16">
        <v>1855.57</v>
      </c>
      <c r="F12" s="16">
        <v>3984.6000000000004</v>
      </c>
      <c r="G12" s="16">
        <v>6017.62</v>
      </c>
      <c r="J12" s="14" t="s">
        <v>46</v>
      </c>
      <c r="K12" s="16">
        <v>38733.300000000003</v>
      </c>
      <c r="P12" s="8" t="s">
        <v>23</v>
      </c>
      <c r="Q12" s="9">
        <v>2023</v>
      </c>
      <c r="S12" s="14" t="s">
        <v>46</v>
      </c>
      <c r="T12" s="4">
        <v>23</v>
      </c>
    </row>
    <row r="13" spans="1:32" ht="15.75">
      <c r="P13" s="10" t="s">
        <v>24</v>
      </c>
      <c r="Q13" s="11">
        <v>2024</v>
      </c>
      <c r="AE13" s="5" t="s">
        <v>55</v>
      </c>
    </row>
    <row r="14" spans="1:32">
      <c r="P14" s="8" t="s">
        <v>7</v>
      </c>
      <c r="Q14" s="9">
        <v>2023</v>
      </c>
    </row>
    <row r="15" spans="1:32">
      <c r="P15" s="10" t="s">
        <v>25</v>
      </c>
      <c r="Q15" s="11">
        <v>2025</v>
      </c>
    </row>
    <row r="16" spans="1:32">
      <c r="P16" s="8" t="s">
        <v>3</v>
      </c>
      <c r="Q16" s="9">
        <v>2023</v>
      </c>
    </row>
    <row r="17" spans="16:32">
      <c r="P17" s="10" t="s">
        <v>26</v>
      </c>
      <c r="Q17" s="11">
        <v>2023</v>
      </c>
    </row>
    <row r="18" spans="16:32" ht="15.75">
      <c r="P18" s="8" t="s">
        <v>26</v>
      </c>
      <c r="Q18" s="9">
        <v>2024</v>
      </c>
      <c r="AA18" s="18" t="s">
        <v>10</v>
      </c>
      <c r="AB18" s="18" t="s">
        <v>12</v>
      </c>
      <c r="AE18" s="5" t="s">
        <v>55</v>
      </c>
    </row>
    <row r="19" spans="16:32">
      <c r="P19" s="10" t="s">
        <v>2</v>
      </c>
      <c r="Q19" s="11">
        <v>2021</v>
      </c>
      <c r="AA19" s="19" t="s">
        <v>8</v>
      </c>
      <c r="AB19" s="21">
        <v>890.55</v>
      </c>
      <c r="AE19" s="13" t="s">
        <v>45</v>
      </c>
      <c r="AF19" t="s">
        <v>29</v>
      </c>
    </row>
    <row r="20" spans="16:32">
      <c r="P20" s="8" t="s">
        <v>27</v>
      </c>
      <c r="Q20" s="9">
        <v>2023</v>
      </c>
      <c r="AA20" s="20" t="s">
        <v>8</v>
      </c>
      <c r="AB20" s="22">
        <v>993.98</v>
      </c>
      <c r="AE20" s="14" t="s">
        <v>8</v>
      </c>
      <c r="AF20" s="4">
        <v>11263.11</v>
      </c>
    </row>
    <row r="21" spans="16:32">
      <c r="P21" s="10" t="s">
        <v>27</v>
      </c>
      <c r="Q21" s="11">
        <v>2021</v>
      </c>
      <c r="AA21" s="19" t="s">
        <v>8</v>
      </c>
      <c r="AB21" s="21">
        <v>2900.33</v>
      </c>
      <c r="AE21" s="14" t="s">
        <v>62</v>
      </c>
      <c r="AF21" s="4">
        <v>9017</v>
      </c>
    </row>
    <row r="22" spans="16:32">
      <c r="P22" s="8" t="s">
        <v>28</v>
      </c>
      <c r="Q22" s="9">
        <v>2023</v>
      </c>
      <c r="AA22" s="20" t="s">
        <v>57</v>
      </c>
      <c r="AB22" s="22">
        <v>1200.6600000000001</v>
      </c>
      <c r="AE22" s="14" t="s">
        <v>61</v>
      </c>
      <c r="AF22" s="4">
        <v>3567.5499999999997</v>
      </c>
    </row>
    <row r="23" spans="16:32">
      <c r="P23" s="10" t="s">
        <v>26</v>
      </c>
      <c r="Q23" s="11">
        <v>2021</v>
      </c>
      <c r="AA23" s="19" t="s">
        <v>8</v>
      </c>
      <c r="AB23" s="21">
        <v>1006.87</v>
      </c>
      <c r="AE23" s="14" t="s">
        <v>57</v>
      </c>
      <c r="AF23" s="4">
        <v>3709.2000000000003</v>
      </c>
    </row>
    <row r="24" spans="16:32">
      <c r="P24" s="8" t="s">
        <v>6</v>
      </c>
      <c r="Q24" s="9">
        <v>2024</v>
      </c>
      <c r="AA24" s="20" t="s">
        <v>8</v>
      </c>
      <c r="AB24" s="22">
        <v>1002.76</v>
      </c>
      <c r="AE24" s="14" t="s">
        <v>63</v>
      </c>
      <c r="AF24" s="4">
        <v>1547.98</v>
      </c>
    </row>
    <row r="25" spans="16:32">
      <c r="AA25" s="19" t="s">
        <v>58</v>
      </c>
      <c r="AB25" s="21">
        <v>14.87</v>
      </c>
      <c r="AE25" s="14" t="s">
        <v>58</v>
      </c>
      <c r="AF25" s="4">
        <v>3020.75</v>
      </c>
    </row>
    <row r="26" spans="16:32">
      <c r="AA26" s="20" t="s">
        <v>57</v>
      </c>
      <c r="AB26" s="22">
        <v>1200.8699999999999</v>
      </c>
      <c r="AE26" s="14" t="s">
        <v>59</v>
      </c>
      <c r="AF26" s="4">
        <v>2807.85</v>
      </c>
    </row>
    <row r="27" spans="16:32">
      <c r="AA27" s="19" t="s">
        <v>8</v>
      </c>
      <c r="AB27" s="21">
        <v>1398.76</v>
      </c>
      <c r="AE27" s="14" t="s">
        <v>60</v>
      </c>
      <c r="AF27" s="4">
        <v>3799.86</v>
      </c>
    </row>
    <row r="28" spans="16:32">
      <c r="AA28" s="20" t="s">
        <v>8</v>
      </c>
      <c r="AB28" s="22">
        <v>1578.98</v>
      </c>
      <c r="AE28" s="14" t="s">
        <v>46</v>
      </c>
      <c r="AF28" s="4">
        <v>38733.300000000003</v>
      </c>
    </row>
    <row r="29" spans="16:32">
      <c r="AA29" s="19" t="s">
        <v>8</v>
      </c>
      <c r="AB29" s="21">
        <v>1490.88</v>
      </c>
    </row>
    <row r="30" spans="16:32">
      <c r="AA30" s="20" t="s">
        <v>58</v>
      </c>
      <c r="AB30" s="22">
        <v>1906.9</v>
      </c>
    </row>
    <row r="31" spans="16:32">
      <c r="AA31" s="19" t="s">
        <v>57</v>
      </c>
      <c r="AB31" s="21">
        <v>1097.8900000000001</v>
      </c>
    </row>
    <row r="32" spans="16:32">
      <c r="AA32" s="20" t="s">
        <v>59</v>
      </c>
      <c r="AB32" s="22">
        <v>1709.87</v>
      </c>
    </row>
    <row r="33" spans="27:28">
      <c r="AA33" s="19" t="s">
        <v>58</v>
      </c>
      <c r="AB33" s="21">
        <v>1098.98</v>
      </c>
    </row>
    <row r="34" spans="27:28">
      <c r="AA34" s="20" t="s">
        <v>57</v>
      </c>
      <c r="AB34" s="22">
        <v>209.78</v>
      </c>
    </row>
    <row r="35" spans="27:28">
      <c r="AA35" s="19" t="s">
        <v>62</v>
      </c>
      <c r="AB35" s="21">
        <v>9017</v>
      </c>
    </row>
    <row r="36" spans="27:28">
      <c r="AA36" s="20" t="s">
        <v>60</v>
      </c>
      <c r="AB36" s="22">
        <v>988.98</v>
      </c>
    </row>
    <row r="37" spans="27:28">
      <c r="AA37" s="19" t="s">
        <v>60</v>
      </c>
      <c r="AB37" s="21">
        <v>900.98</v>
      </c>
    </row>
    <row r="38" spans="27:28">
      <c r="AA38" s="20" t="s">
        <v>59</v>
      </c>
      <c r="AB38" s="22">
        <v>1097.98</v>
      </c>
    </row>
    <row r="39" spans="27:28">
      <c r="AA39" s="19" t="s">
        <v>61</v>
      </c>
      <c r="AB39" s="21">
        <v>1989.98</v>
      </c>
    </row>
    <row r="40" spans="27:28">
      <c r="AA40" s="20" t="s">
        <v>60</v>
      </c>
      <c r="AB40" s="22">
        <v>1909.9</v>
      </c>
    </row>
    <row r="41" spans="27:28">
      <c r="AA41" s="19" t="s">
        <v>63</v>
      </c>
      <c r="AB41" s="21">
        <v>1547.98</v>
      </c>
    </row>
    <row r="42" spans="27:28">
      <c r="AA42" s="20" t="s">
        <v>61</v>
      </c>
      <c r="AB42" s="22">
        <v>1544.87</v>
      </c>
    </row>
    <row r="43" spans="27:28">
      <c r="AA43" s="19" t="s">
        <v>61</v>
      </c>
      <c r="AB43" s="21">
        <v>32.700000000000003</v>
      </c>
    </row>
  </sheetData>
  <autoFilter ref="P1:Q24" xr:uid="{DC247FC3-6DDB-42C8-BFCE-359EB7CCEB3D}"/>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F27A-E240-4845-AF24-C9B85D36FA28}">
  <dimension ref="A1"/>
  <sheetViews>
    <sheetView showGridLines="0" tabSelected="1" workbookViewId="0">
      <selection activeCell="X9" sqref="X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Nasrat Abid</dc:creator>
  <cp:lastModifiedBy>MMC</cp:lastModifiedBy>
  <dcterms:created xsi:type="dcterms:W3CDTF">2026-03-17T17:33:29Z</dcterms:created>
  <dcterms:modified xsi:type="dcterms:W3CDTF">2026-03-26T06:26:16Z</dcterms:modified>
</cp:coreProperties>
</file>